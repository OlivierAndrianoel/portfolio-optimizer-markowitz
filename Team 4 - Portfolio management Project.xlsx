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namedSheetViews/namedSheetView1.xml" ContentType="application/vnd.ms-excel.namedsheetview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AUDENCIA 2024 2025 2026\COURS 2025 2026\PORTFOLIO MANAGEMENT\PROJECT\Bon projet\"/>
    </mc:Choice>
  </mc:AlternateContent>
  <xr:revisionPtr revIDLastSave="0" documentId="13_ncr:1_{F0158ADD-CC18-438B-9F5F-BD312C9C568E}" xr6:coauthVersionLast="47" xr6:coauthVersionMax="47" xr10:uidLastSave="{00000000-0000-0000-0000-000000000000}"/>
  <bookViews>
    <workbookView xWindow="-110" yWindow="-110" windowWidth="21820" windowHeight="13900" firstSheet="1" activeTab="3" xr2:uid="{00000000-000D-0000-FFFF-FFFF00000000}"/>
  </bookViews>
  <sheets>
    <sheet name="Historical Data" sheetId="2" r:id="rId1"/>
    <sheet name="Expected Return" sheetId="3" r:id="rId2"/>
    <sheet name="Standard Deviation" sheetId="5" r:id="rId3"/>
    <sheet name="Variance-Covariance" sheetId="6" r:id="rId4"/>
    <sheet name="Ratios" sheetId="11" r:id="rId5"/>
    <sheet name="Fact Sheet" sheetId="13" r:id="rId6"/>
    <sheet name="Fact Sheet 2" sheetId="14" r:id="rId7"/>
    <sheet name="Feuil2" sheetId="7" r:id="rId8"/>
    <sheet name="Feuil3" sheetId="8" r:id="rId9"/>
    <sheet name="Feuil5" sheetId="10" r:id="rId10"/>
  </sheets>
  <definedNames>
    <definedName name="_xlnm._FilterDatabase" localSheetId="5" hidden="1">'Fact Sheet'!#REF!</definedName>
    <definedName name="AAPL1">'Expected Return'!$B$3:$B$63</definedName>
    <definedName name="AMZN1">'Expected Return'!$C$3:$C$63</definedName>
    <definedName name="AVGO1">'Expected Return'!$D$3:$D$63</definedName>
    <definedName name="GOOGL1">'Expected Return'!$E$3:$E$63</definedName>
    <definedName name="Mastercard">'Expected Return'!$F$3:$F$63</definedName>
    <definedName name="Means">'Variance-Covariance'!$Q$16:$Q$25</definedName>
    <definedName name="Meta1">'Expected Return'!$G$3:$G$63</definedName>
    <definedName name="monthly_varcov">'Variance-Covariance'!$E$4:$N$13</definedName>
    <definedName name="MSFT1">'Expected Return'!$H$3:$H$63</definedName>
    <definedName name="NVDA1">'Expected Return'!$I$3:$I$63</definedName>
    <definedName name="ORCL1">'Expected Return'!$J$3:$J$63</definedName>
    <definedName name="solver_adj" localSheetId="3" hidden="1">'Variance-Covariance'!$T$16:$AC$16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'Variance-Covariance'!$AG$16</definedName>
    <definedName name="solver_lhs2" localSheetId="3" hidden="1">'Variance-Covariance'!$AG$16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'Variance-Covariance'!$AI$16</definedName>
    <definedName name="solver_pre" localSheetId="3" hidden="1">0.000001</definedName>
    <definedName name="solver_rbv" localSheetId="3" hidden="1">2</definedName>
    <definedName name="solver_rel1" localSheetId="3" hidden="1">2</definedName>
    <definedName name="solver_rel2" localSheetId="3" hidden="1">2</definedName>
    <definedName name="solver_rhs1" localSheetId="3" hidden="1">1</definedName>
    <definedName name="solver_rhs2" localSheetId="3" hidden="1">1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  <definedName name="TSLA1">'Expected Return'!$K$3:$K$63</definedName>
    <definedName name="varcov">'Variance-Covariance'!$E$16:$N$25</definedName>
    <definedName name="Weeights">'Variance-Covariance'!#REF!</definedName>
    <definedName name="Weights">'Variance-Covariance'!$T$16:$AC$16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D5" i="11"/>
  <c r="E5" i="11"/>
  <c r="AE9" i="14"/>
  <c r="AE10" i="14" s="1"/>
  <c r="AE11" i="14" s="1"/>
  <c r="AE12" i="14" s="1"/>
  <c r="AE13" i="14" s="1"/>
  <c r="AE14" i="14" s="1"/>
  <c r="AF9" i="14"/>
  <c r="AF10" i="14" s="1"/>
  <c r="AF11" i="14" s="1"/>
  <c r="AF12" i="14" s="1"/>
  <c r="AF13" i="14" s="1"/>
  <c r="AF14" i="14" s="1"/>
  <c r="AG9" i="14"/>
  <c r="AG10" i="14" s="1"/>
  <c r="AG11" i="14" s="1"/>
  <c r="AG12" i="14" s="1"/>
  <c r="AG13" i="14" s="1"/>
  <c r="AG14" i="14" s="1"/>
  <c r="AD9" i="14"/>
  <c r="AD10" i="14" s="1"/>
  <c r="AD11" i="14" s="1"/>
  <c r="AD12" i="14" s="1"/>
  <c r="AD13" i="14" s="1"/>
  <c r="AD14" i="14" s="1"/>
  <c r="B3" i="14"/>
  <c r="C3" i="14"/>
  <c r="D3" i="14"/>
  <c r="E3" i="14"/>
  <c r="F3" i="14"/>
  <c r="G3" i="14"/>
  <c r="H3" i="14"/>
  <c r="I3" i="14"/>
  <c r="J3" i="14"/>
  <c r="K3" i="14"/>
  <c r="B4" i="14"/>
  <c r="C4" i="14"/>
  <c r="D4" i="14"/>
  <c r="E4" i="14"/>
  <c r="F4" i="14"/>
  <c r="G4" i="14"/>
  <c r="H4" i="14"/>
  <c r="I4" i="14"/>
  <c r="J4" i="14"/>
  <c r="K4" i="14"/>
  <c r="B5" i="14"/>
  <c r="C5" i="14"/>
  <c r="D5" i="14"/>
  <c r="E5" i="14"/>
  <c r="F5" i="14"/>
  <c r="G5" i="14"/>
  <c r="H5" i="14"/>
  <c r="I5" i="14"/>
  <c r="J5" i="14"/>
  <c r="K5" i="14"/>
  <c r="B6" i="14"/>
  <c r="C6" i="14"/>
  <c r="D6" i="14"/>
  <c r="E6" i="14"/>
  <c r="F6" i="14"/>
  <c r="G6" i="14"/>
  <c r="H6" i="14"/>
  <c r="I6" i="14"/>
  <c r="J6" i="14"/>
  <c r="K6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D12" i="14"/>
  <c r="E12" i="14"/>
  <c r="F12" i="14"/>
  <c r="G12" i="14"/>
  <c r="H12" i="14"/>
  <c r="I12" i="14"/>
  <c r="J12" i="14"/>
  <c r="K12" i="14"/>
  <c r="B13" i="14"/>
  <c r="C13" i="14"/>
  <c r="D13" i="14"/>
  <c r="E13" i="14"/>
  <c r="F13" i="14"/>
  <c r="G13" i="14"/>
  <c r="H13" i="14"/>
  <c r="I13" i="14"/>
  <c r="J13" i="14"/>
  <c r="K13" i="14"/>
  <c r="B14" i="14"/>
  <c r="C14" i="14"/>
  <c r="D14" i="14"/>
  <c r="E14" i="14"/>
  <c r="F14" i="14"/>
  <c r="G14" i="14"/>
  <c r="H14" i="14"/>
  <c r="I14" i="14"/>
  <c r="J14" i="14"/>
  <c r="K14" i="14"/>
  <c r="B15" i="14"/>
  <c r="C15" i="14"/>
  <c r="D15" i="14"/>
  <c r="E15" i="14"/>
  <c r="F15" i="14"/>
  <c r="G15" i="14"/>
  <c r="H15" i="14"/>
  <c r="I15" i="14"/>
  <c r="J15" i="14"/>
  <c r="K15" i="14"/>
  <c r="B16" i="14"/>
  <c r="C16" i="14"/>
  <c r="D16" i="14"/>
  <c r="E16" i="14"/>
  <c r="F16" i="14"/>
  <c r="G16" i="14"/>
  <c r="H16" i="14"/>
  <c r="I16" i="14"/>
  <c r="J16" i="14"/>
  <c r="K16" i="14"/>
  <c r="B17" i="14"/>
  <c r="C17" i="14"/>
  <c r="D17" i="14"/>
  <c r="E17" i="14"/>
  <c r="F17" i="14"/>
  <c r="G17" i="14"/>
  <c r="H17" i="14"/>
  <c r="I17" i="14"/>
  <c r="J17" i="14"/>
  <c r="K17" i="14"/>
  <c r="B18" i="14"/>
  <c r="C18" i="14"/>
  <c r="D18" i="14"/>
  <c r="E18" i="14"/>
  <c r="F18" i="14"/>
  <c r="G18" i="14"/>
  <c r="H18" i="14"/>
  <c r="I18" i="14"/>
  <c r="J18" i="14"/>
  <c r="K18" i="14"/>
  <c r="B19" i="14"/>
  <c r="C19" i="14"/>
  <c r="D19" i="14"/>
  <c r="E19" i="14"/>
  <c r="F19" i="14"/>
  <c r="G19" i="14"/>
  <c r="H19" i="14"/>
  <c r="I19" i="14"/>
  <c r="J19" i="14"/>
  <c r="K19" i="14"/>
  <c r="B20" i="14"/>
  <c r="C20" i="14"/>
  <c r="D20" i="14"/>
  <c r="E20" i="14"/>
  <c r="F20" i="14"/>
  <c r="G20" i="14"/>
  <c r="H20" i="14"/>
  <c r="I20" i="14"/>
  <c r="J20" i="14"/>
  <c r="K20" i="14"/>
  <c r="B21" i="14"/>
  <c r="C21" i="14"/>
  <c r="D21" i="14"/>
  <c r="E21" i="14"/>
  <c r="F21" i="14"/>
  <c r="G21" i="14"/>
  <c r="H21" i="14"/>
  <c r="I21" i="14"/>
  <c r="J21" i="14"/>
  <c r="K21" i="14"/>
  <c r="B22" i="14"/>
  <c r="C22" i="14"/>
  <c r="D22" i="14"/>
  <c r="E22" i="14"/>
  <c r="F22" i="14"/>
  <c r="G22" i="14"/>
  <c r="H22" i="14"/>
  <c r="I22" i="14"/>
  <c r="J22" i="14"/>
  <c r="K22" i="14"/>
  <c r="B23" i="14"/>
  <c r="C23" i="14"/>
  <c r="D23" i="14"/>
  <c r="E23" i="14"/>
  <c r="F23" i="14"/>
  <c r="G23" i="14"/>
  <c r="H23" i="14"/>
  <c r="I23" i="14"/>
  <c r="J23" i="14"/>
  <c r="K23" i="14"/>
  <c r="B24" i="14"/>
  <c r="C24" i="14"/>
  <c r="D24" i="14"/>
  <c r="E24" i="14"/>
  <c r="F24" i="14"/>
  <c r="G24" i="14"/>
  <c r="H24" i="14"/>
  <c r="I24" i="14"/>
  <c r="J24" i="14"/>
  <c r="K24" i="14"/>
  <c r="B25" i="14"/>
  <c r="C25" i="14"/>
  <c r="D25" i="14"/>
  <c r="E25" i="14"/>
  <c r="F25" i="14"/>
  <c r="G25" i="14"/>
  <c r="H25" i="14"/>
  <c r="I25" i="14"/>
  <c r="J25" i="14"/>
  <c r="K25" i="14"/>
  <c r="B26" i="14"/>
  <c r="C26" i="14"/>
  <c r="D26" i="14"/>
  <c r="E26" i="14"/>
  <c r="F26" i="14"/>
  <c r="G26" i="14"/>
  <c r="H26" i="14"/>
  <c r="I26" i="14"/>
  <c r="J26" i="14"/>
  <c r="K26" i="14"/>
  <c r="B27" i="14"/>
  <c r="C27" i="14"/>
  <c r="D27" i="14"/>
  <c r="E27" i="14"/>
  <c r="F27" i="14"/>
  <c r="G27" i="14"/>
  <c r="H27" i="14"/>
  <c r="I27" i="14"/>
  <c r="J27" i="14"/>
  <c r="K27" i="14"/>
  <c r="B28" i="14"/>
  <c r="C28" i="14"/>
  <c r="D28" i="14"/>
  <c r="E28" i="14"/>
  <c r="F28" i="14"/>
  <c r="G28" i="14"/>
  <c r="H28" i="14"/>
  <c r="I28" i="14"/>
  <c r="J28" i="14"/>
  <c r="K28" i="14"/>
  <c r="B29" i="14"/>
  <c r="C29" i="14"/>
  <c r="D29" i="14"/>
  <c r="E29" i="14"/>
  <c r="F29" i="14"/>
  <c r="G29" i="14"/>
  <c r="H29" i="14"/>
  <c r="I29" i="14"/>
  <c r="J29" i="14"/>
  <c r="K29" i="14"/>
  <c r="B30" i="14"/>
  <c r="C30" i="14"/>
  <c r="D30" i="14"/>
  <c r="E30" i="14"/>
  <c r="F30" i="14"/>
  <c r="G30" i="14"/>
  <c r="H30" i="14"/>
  <c r="I30" i="14"/>
  <c r="J30" i="14"/>
  <c r="K30" i="14"/>
  <c r="B31" i="14"/>
  <c r="C31" i="14"/>
  <c r="D31" i="14"/>
  <c r="E31" i="14"/>
  <c r="F31" i="14"/>
  <c r="G31" i="14"/>
  <c r="H31" i="14"/>
  <c r="I31" i="14"/>
  <c r="J31" i="14"/>
  <c r="K31" i="14"/>
  <c r="B32" i="14"/>
  <c r="C32" i="14"/>
  <c r="D32" i="14"/>
  <c r="E32" i="14"/>
  <c r="F32" i="14"/>
  <c r="G32" i="14"/>
  <c r="H32" i="14"/>
  <c r="I32" i="14"/>
  <c r="J32" i="14"/>
  <c r="K32" i="14"/>
  <c r="B33" i="14"/>
  <c r="C33" i="14"/>
  <c r="D33" i="14"/>
  <c r="E33" i="14"/>
  <c r="F33" i="14"/>
  <c r="G33" i="14"/>
  <c r="H33" i="14"/>
  <c r="I33" i="14"/>
  <c r="J33" i="14"/>
  <c r="K33" i="14"/>
  <c r="B34" i="14"/>
  <c r="C34" i="14"/>
  <c r="D34" i="14"/>
  <c r="E34" i="14"/>
  <c r="F34" i="14"/>
  <c r="G34" i="14"/>
  <c r="H34" i="14"/>
  <c r="I34" i="14"/>
  <c r="J34" i="14"/>
  <c r="K34" i="14"/>
  <c r="B35" i="14"/>
  <c r="C35" i="14"/>
  <c r="D35" i="14"/>
  <c r="E35" i="14"/>
  <c r="F35" i="14"/>
  <c r="G35" i="14"/>
  <c r="H35" i="14"/>
  <c r="I35" i="14"/>
  <c r="J35" i="14"/>
  <c r="K35" i="14"/>
  <c r="B36" i="14"/>
  <c r="C36" i="14"/>
  <c r="D36" i="14"/>
  <c r="E36" i="14"/>
  <c r="F36" i="14"/>
  <c r="G36" i="14"/>
  <c r="H36" i="14"/>
  <c r="I36" i="14"/>
  <c r="J36" i="14"/>
  <c r="K36" i="14"/>
  <c r="B37" i="14"/>
  <c r="C37" i="14"/>
  <c r="D37" i="14"/>
  <c r="E37" i="14"/>
  <c r="F37" i="14"/>
  <c r="G37" i="14"/>
  <c r="H37" i="14"/>
  <c r="I37" i="14"/>
  <c r="J37" i="14"/>
  <c r="K37" i="14"/>
  <c r="B38" i="14"/>
  <c r="C38" i="14"/>
  <c r="D38" i="14"/>
  <c r="E38" i="14"/>
  <c r="F38" i="14"/>
  <c r="G38" i="14"/>
  <c r="H38" i="14"/>
  <c r="I38" i="14"/>
  <c r="J38" i="14"/>
  <c r="K38" i="14"/>
  <c r="B39" i="14"/>
  <c r="C39" i="14"/>
  <c r="D39" i="14"/>
  <c r="E39" i="14"/>
  <c r="F39" i="14"/>
  <c r="G39" i="14"/>
  <c r="H39" i="14"/>
  <c r="I39" i="14"/>
  <c r="J39" i="14"/>
  <c r="K39" i="14"/>
  <c r="B40" i="14"/>
  <c r="C40" i="14"/>
  <c r="D40" i="14"/>
  <c r="E40" i="14"/>
  <c r="F40" i="14"/>
  <c r="G40" i="14"/>
  <c r="H40" i="14"/>
  <c r="I40" i="14"/>
  <c r="J40" i="14"/>
  <c r="K40" i="14"/>
  <c r="B41" i="14"/>
  <c r="C41" i="14"/>
  <c r="D41" i="14"/>
  <c r="E41" i="14"/>
  <c r="F41" i="14"/>
  <c r="G41" i="14"/>
  <c r="H41" i="14"/>
  <c r="I41" i="14"/>
  <c r="J41" i="14"/>
  <c r="K41" i="14"/>
  <c r="B42" i="14"/>
  <c r="C42" i="14"/>
  <c r="D42" i="14"/>
  <c r="E42" i="14"/>
  <c r="F42" i="14"/>
  <c r="G42" i="14"/>
  <c r="H42" i="14"/>
  <c r="I42" i="14"/>
  <c r="J42" i="14"/>
  <c r="K42" i="14"/>
  <c r="B43" i="14"/>
  <c r="C43" i="14"/>
  <c r="D43" i="14"/>
  <c r="E43" i="14"/>
  <c r="F43" i="14"/>
  <c r="G43" i="14"/>
  <c r="H43" i="14"/>
  <c r="I43" i="14"/>
  <c r="J43" i="14"/>
  <c r="K43" i="14"/>
  <c r="B44" i="14"/>
  <c r="C44" i="14"/>
  <c r="D44" i="14"/>
  <c r="E44" i="14"/>
  <c r="F44" i="14"/>
  <c r="G44" i="14"/>
  <c r="H44" i="14"/>
  <c r="I44" i="14"/>
  <c r="J44" i="14"/>
  <c r="K44" i="14"/>
  <c r="B45" i="14"/>
  <c r="C45" i="14"/>
  <c r="D45" i="14"/>
  <c r="E45" i="14"/>
  <c r="F45" i="14"/>
  <c r="G45" i="14"/>
  <c r="H45" i="14"/>
  <c r="I45" i="14"/>
  <c r="J45" i="14"/>
  <c r="K45" i="14"/>
  <c r="B46" i="14"/>
  <c r="C46" i="14"/>
  <c r="D46" i="14"/>
  <c r="E46" i="14"/>
  <c r="F46" i="14"/>
  <c r="G46" i="14"/>
  <c r="H46" i="14"/>
  <c r="I46" i="14"/>
  <c r="J46" i="14"/>
  <c r="K46" i="14"/>
  <c r="B47" i="14"/>
  <c r="C47" i="14"/>
  <c r="D47" i="14"/>
  <c r="E47" i="14"/>
  <c r="F47" i="14"/>
  <c r="G47" i="14"/>
  <c r="H47" i="14"/>
  <c r="I47" i="14"/>
  <c r="J47" i="14"/>
  <c r="K47" i="14"/>
  <c r="B48" i="14"/>
  <c r="C48" i="14"/>
  <c r="D48" i="14"/>
  <c r="E48" i="14"/>
  <c r="F48" i="14"/>
  <c r="G48" i="14"/>
  <c r="H48" i="14"/>
  <c r="I48" i="14"/>
  <c r="J48" i="14"/>
  <c r="K48" i="14"/>
  <c r="B49" i="14"/>
  <c r="C49" i="14"/>
  <c r="D49" i="14"/>
  <c r="E49" i="14"/>
  <c r="F49" i="14"/>
  <c r="G49" i="14"/>
  <c r="H49" i="14"/>
  <c r="I49" i="14"/>
  <c r="J49" i="14"/>
  <c r="K49" i="14"/>
  <c r="B50" i="14"/>
  <c r="C50" i="14"/>
  <c r="D50" i="14"/>
  <c r="E50" i="14"/>
  <c r="F50" i="14"/>
  <c r="G50" i="14"/>
  <c r="H50" i="14"/>
  <c r="I50" i="14"/>
  <c r="J50" i="14"/>
  <c r="K50" i="14"/>
  <c r="B51" i="14"/>
  <c r="C51" i="14"/>
  <c r="D51" i="14"/>
  <c r="E51" i="14"/>
  <c r="F51" i="14"/>
  <c r="G51" i="14"/>
  <c r="H51" i="14"/>
  <c r="I51" i="14"/>
  <c r="J51" i="14"/>
  <c r="K51" i="14"/>
  <c r="B52" i="14"/>
  <c r="C52" i="14"/>
  <c r="D52" i="14"/>
  <c r="E52" i="14"/>
  <c r="F52" i="14"/>
  <c r="G52" i="14"/>
  <c r="H52" i="14"/>
  <c r="I52" i="14"/>
  <c r="J52" i="14"/>
  <c r="K52" i="14"/>
  <c r="B53" i="14"/>
  <c r="C53" i="14"/>
  <c r="D53" i="14"/>
  <c r="E53" i="14"/>
  <c r="F53" i="14"/>
  <c r="G53" i="14"/>
  <c r="H53" i="14"/>
  <c r="I53" i="14"/>
  <c r="J53" i="14"/>
  <c r="K53" i="14"/>
  <c r="B54" i="14"/>
  <c r="C54" i="14"/>
  <c r="D54" i="14"/>
  <c r="E54" i="14"/>
  <c r="F54" i="14"/>
  <c r="G54" i="14"/>
  <c r="H54" i="14"/>
  <c r="I54" i="14"/>
  <c r="J54" i="14"/>
  <c r="K54" i="14"/>
  <c r="B55" i="14"/>
  <c r="C55" i="14"/>
  <c r="D55" i="14"/>
  <c r="E55" i="14"/>
  <c r="F55" i="14"/>
  <c r="G55" i="14"/>
  <c r="H55" i="14"/>
  <c r="I55" i="14"/>
  <c r="J55" i="14"/>
  <c r="K55" i="14"/>
  <c r="B56" i="14"/>
  <c r="C56" i="14"/>
  <c r="D56" i="14"/>
  <c r="E56" i="14"/>
  <c r="F56" i="14"/>
  <c r="G56" i="14"/>
  <c r="H56" i="14"/>
  <c r="I56" i="14"/>
  <c r="J56" i="14"/>
  <c r="K56" i="14"/>
  <c r="B57" i="14"/>
  <c r="C57" i="14"/>
  <c r="D57" i="14"/>
  <c r="E57" i="14"/>
  <c r="F57" i="14"/>
  <c r="G57" i="14"/>
  <c r="H57" i="14"/>
  <c r="I57" i="14"/>
  <c r="J57" i="14"/>
  <c r="K57" i="14"/>
  <c r="B58" i="14"/>
  <c r="C58" i="14"/>
  <c r="D58" i="14"/>
  <c r="E58" i="14"/>
  <c r="F58" i="14"/>
  <c r="G58" i="14"/>
  <c r="H58" i="14"/>
  <c r="I58" i="14"/>
  <c r="J58" i="14"/>
  <c r="K58" i="14"/>
  <c r="B59" i="14"/>
  <c r="C59" i="14"/>
  <c r="D59" i="14"/>
  <c r="E59" i="14"/>
  <c r="F59" i="14"/>
  <c r="G59" i="14"/>
  <c r="H59" i="14"/>
  <c r="I59" i="14"/>
  <c r="J59" i="14"/>
  <c r="K59" i="14"/>
  <c r="B60" i="14"/>
  <c r="C60" i="14"/>
  <c r="D60" i="14"/>
  <c r="E60" i="14"/>
  <c r="F60" i="14"/>
  <c r="G60" i="14"/>
  <c r="H60" i="14"/>
  <c r="I60" i="14"/>
  <c r="J60" i="14"/>
  <c r="K60" i="14"/>
  <c r="B61" i="14"/>
  <c r="C61" i="14"/>
  <c r="D61" i="14"/>
  <c r="E61" i="14"/>
  <c r="F61" i="14"/>
  <c r="G61" i="14"/>
  <c r="H61" i="14"/>
  <c r="I61" i="14"/>
  <c r="J61" i="14"/>
  <c r="K61" i="14"/>
  <c r="B62" i="14"/>
  <c r="C62" i="14"/>
  <c r="D62" i="14"/>
  <c r="E62" i="14"/>
  <c r="F62" i="14"/>
  <c r="G62" i="14"/>
  <c r="H62" i="14"/>
  <c r="I62" i="14"/>
  <c r="J62" i="14"/>
  <c r="K62" i="14"/>
  <c r="B63" i="14"/>
  <c r="C63" i="14"/>
  <c r="D63" i="14"/>
  <c r="E63" i="14"/>
  <c r="F63" i="14"/>
  <c r="G63" i="14"/>
  <c r="H63" i="14"/>
  <c r="I63" i="14"/>
  <c r="J63" i="14"/>
  <c r="K63" i="14"/>
  <c r="C6" i="11"/>
  <c r="B6" i="11"/>
  <c r="C3" i="11"/>
  <c r="C4" i="11" s="1"/>
  <c r="B2" i="11"/>
  <c r="C2" i="11"/>
  <c r="B3" i="11"/>
  <c r="AG16" i="6"/>
  <c r="AD16" i="6"/>
  <c r="E64" i="14" l="1"/>
  <c r="E65" i="14" s="1"/>
  <c r="N5" i="14"/>
  <c r="F64" i="14"/>
  <c r="F65" i="14" s="1"/>
  <c r="D64" i="14"/>
  <c r="D65" i="14" s="1"/>
  <c r="J64" i="14"/>
  <c r="J65" i="14" s="1"/>
  <c r="B64" i="14"/>
  <c r="B65" i="14" s="1"/>
  <c r="K64" i="14"/>
  <c r="K65" i="14" s="1"/>
  <c r="G64" i="14"/>
  <c r="G66" i="14" s="1"/>
  <c r="G67" i="14" s="1"/>
  <c r="G68" i="14" s="1"/>
  <c r="C64" i="14"/>
  <c r="C65" i="14" s="1"/>
  <c r="J66" i="14"/>
  <c r="J67" i="14" s="1"/>
  <c r="J68" i="14" s="1"/>
  <c r="F66" i="14"/>
  <c r="F67" i="14" s="1"/>
  <c r="F68" i="14" s="1"/>
  <c r="E66" i="14"/>
  <c r="E67" i="14" s="1"/>
  <c r="E68" i="14" s="1"/>
  <c r="H64" i="14"/>
  <c r="I64" i="14"/>
  <c r="I65" i="14" s="1"/>
  <c r="C66" i="14"/>
  <c r="C67" i="14" s="1"/>
  <c r="C68" i="14" s="1"/>
  <c r="H65" i="14"/>
  <c r="H66" i="14"/>
  <c r="H67" i="14" s="1"/>
  <c r="H68" i="14" s="1"/>
  <c r="O7" i="14"/>
  <c r="R7" i="14"/>
  <c r="Q7" i="14"/>
  <c r="P7" i="14"/>
  <c r="N7" i="14"/>
  <c r="S7" i="14"/>
  <c r="O6" i="14"/>
  <c r="R6" i="14"/>
  <c r="Q6" i="14"/>
  <c r="P6" i="14"/>
  <c r="N6" i="14"/>
  <c r="S6" i="14"/>
  <c r="O5" i="14"/>
  <c r="R5" i="14"/>
  <c r="Q5" i="14"/>
  <c r="P5" i="14"/>
  <c r="S5" i="14"/>
  <c r="O4" i="14"/>
  <c r="R4" i="14"/>
  <c r="Q4" i="14"/>
  <c r="P4" i="14"/>
  <c r="N4" i="14"/>
  <c r="S4" i="14"/>
  <c r="O3" i="14"/>
  <c r="R3" i="14"/>
  <c r="Q3" i="14"/>
  <c r="P3" i="14"/>
  <c r="N3" i="14"/>
  <c r="S3" i="14"/>
  <c r="O2" i="14"/>
  <c r="R2" i="14"/>
  <c r="Q2" i="14"/>
  <c r="P2" i="14"/>
  <c r="N2" i="14"/>
  <c r="S2" i="14"/>
  <c r="B5" i="11"/>
  <c r="B4" i="11"/>
  <c r="C5" i="11"/>
  <c r="B3" i="3"/>
  <c r="C3" i="3"/>
  <c r="D3" i="3"/>
  <c r="E3" i="3"/>
  <c r="F3" i="3"/>
  <c r="G3" i="3"/>
  <c r="H3" i="3"/>
  <c r="I3" i="3"/>
  <c r="J3" i="3"/>
  <c r="K3" i="3"/>
  <c r="B4" i="3"/>
  <c r="C4" i="3"/>
  <c r="D4" i="3"/>
  <c r="E4" i="3"/>
  <c r="F4" i="3"/>
  <c r="G4" i="3"/>
  <c r="H4" i="3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I7" i="3"/>
  <c r="J7" i="3"/>
  <c r="K7" i="3"/>
  <c r="B8" i="3"/>
  <c r="C8" i="3"/>
  <c r="D8" i="3"/>
  <c r="E8" i="3"/>
  <c r="F8" i="3"/>
  <c r="G8" i="3"/>
  <c r="H8" i="3"/>
  <c r="I8" i="3"/>
  <c r="J8" i="3"/>
  <c r="K8" i="3"/>
  <c r="B9" i="3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J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J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B28" i="3"/>
  <c r="C28" i="3"/>
  <c r="D28" i="3"/>
  <c r="E28" i="3"/>
  <c r="F28" i="3"/>
  <c r="G28" i="3"/>
  <c r="H28" i="3"/>
  <c r="I28" i="3"/>
  <c r="J28" i="3"/>
  <c r="K28" i="3"/>
  <c r="B29" i="3"/>
  <c r="C29" i="3"/>
  <c r="D29" i="3"/>
  <c r="E29" i="3"/>
  <c r="F29" i="3"/>
  <c r="G29" i="3"/>
  <c r="H29" i="3"/>
  <c r="I29" i="3"/>
  <c r="J29" i="3"/>
  <c r="K29" i="3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B32" i="3"/>
  <c r="C32" i="3"/>
  <c r="D32" i="3"/>
  <c r="E32" i="3"/>
  <c r="F32" i="3"/>
  <c r="G32" i="3"/>
  <c r="H32" i="3"/>
  <c r="I32" i="3"/>
  <c r="J32" i="3"/>
  <c r="K32" i="3"/>
  <c r="B33" i="3"/>
  <c r="C33" i="3"/>
  <c r="D33" i="3"/>
  <c r="E33" i="3"/>
  <c r="F33" i="3"/>
  <c r="G33" i="3"/>
  <c r="H33" i="3"/>
  <c r="I33" i="3"/>
  <c r="J33" i="3"/>
  <c r="K33" i="3"/>
  <c r="B34" i="3"/>
  <c r="C34" i="3"/>
  <c r="D34" i="3"/>
  <c r="E34" i="3"/>
  <c r="F34" i="3"/>
  <c r="G34" i="3"/>
  <c r="H34" i="3"/>
  <c r="I34" i="3"/>
  <c r="J34" i="3"/>
  <c r="K34" i="3"/>
  <c r="B35" i="3"/>
  <c r="C35" i="3"/>
  <c r="D35" i="3"/>
  <c r="E35" i="3"/>
  <c r="F35" i="3"/>
  <c r="G35" i="3"/>
  <c r="H35" i="3"/>
  <c r="I35" i="3"/>
  <c r="J35" i="3"/>
  <c r="K35" i="3"/>
  <c r="B36" i="3"/>
  <c r="C36" i="3"/>
  <c r="D36" i="3"/>
  <c r="E36" i="3"/>
  <c r="F36" i="3"/>
  <c r="G36" i="3"/>
  <c r="H36" i="3"/>
  <c r="I36" i="3"/>
  <c r="J36" i="3"/>
  <c r="K36" i="3"/>
  <c r="B37" i="3"/>
  <c r="C37" i="3"/>
  <c r="D37" i="3"/>
  <c r="E37" i="3"/>
  <c r="F37" i="3"/>
  <c r="G37" i="3"/>
  <c r="H37" i="3"/>
  <c r="I37" i="3"/>
  <c r="J37" i="3"/>
  <c r="K37" i="3"/>
  <c r="B38" i="3"/>
  <c r="C38" i="3"/>
  <c r="D38" i="3"/>
  <c r="E38" i="3"/>
  <c r="F38" i="3"/>
  <c r="G38" i="3"/>
  <c r="H38" i="3"/>
  <c r="I38" i="3"/>
  <c r="J38" i="3"/>
  <c r="K38" i="3"/>
  <c r="B39" i="3"/>
  <c r="C39" i="3"/>
  <c r="D39" i="3"/>
  <c r="E39" i="3"/>
  <c r="F39" i="3"/>
  <c r="G39" i="3"/>
  <c r="H39" i="3"/>
  <c r="I39" i="3"/>
  <c r="J39" i="3"/>
  <c r="K39" i="3"/>
  <c r="B40" i="3"/>
  <c r="C40" i="3"/>
  <c r="D40" i="3"/>
  <c r="E40" i="3"/>
  <c r="F40" i="3"/>
  <c r="G40" i="3"/>
  <c r="H40" i="3"/>
  <c r="I40" i="3"/>
  <c r="J40" i="3"/>
  <c r="K40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2" i="3"/>
  <c r="C52" i="3"/>
  <c r="D52" i="3"/>
  <c r="E52" i="3"/>
  <c r="F52" i="3"/>
  <c r="G52" i="3"/>
  <c r="H52" i="3"/>
  <c r="I52" i="3"/>
  <c r="J52" i="3"/>
  <c r="K52" i="3"/>
  <c r="B53" i="3"/>
  <c r="C53" i="3"/>
  <c r="D53" i="3"/>
  <c r="E53" i="3"/>
  <c r="F53" i="3"/>
  <c r="G53" i="3"/>
  <c r="H53" i="3"/>
  <c r="I53" i="3"/>
  <c r="J53" i="3"/>
  <c r="K53" i="3"/>
  <c r="B54" i="3"/>
  <c r="C54" i="3"/>
  <c r="D54" i="3"/>
  <c r="E54" i="3"/>
  <c r="F54" i="3"/>
  <c r="G54" i="3"/>
  <c r="H54" i="3"/>
  <c r="I54" i="3"/>
  <c r="J54" i="3"/>
  <c r="K54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E56" i="3"/>
  <c r="F56" i="3"/>
  <c r="G56" i="3"/>
  <c r="H56" i="3"/>
  <c r="I56" i="3"/>
  <c r="J56" i="3"/>
  <c r="K56" i="3"/>
  <c r="B57" i="3"/>
  <c r="C57" i="3"/>
  <c r="D57" i="3"/>
  <c r="E57" i="3"/>
  <c r="F57" i="3"/>
  <c r="G57" i="3"/>
  <c r="H57" i="3"/>
  <c r="I57" i="3"/>
  <c r="J57" i="3"/>
  <c r="K57" i="3"/>
  <c r="B58" i="3"/>
  <c r="C58" i="3"/>
  <c r="D58" i="3"/>
  <c r="E58" i="3"/>
  <c r="F58" i="3"/>
  <c r="G58" i="3"/>
  <c r="H58" i="3"/>
  <c r="I58" i="3"/>
  <c r="J58" i="3"/>
  <c r="K58" i="3"/>
  <c r="B59" i="3"/>
  <c r="C59" i="3"/>
  <c r="D59" i="3"/>
  <c r="E59" i="3"/>
  <c r="F59" i="3"/>
  <c r="G59" i="3"/>
  <c r="H59" i="3"/>
  <c r="I59" i="3"/>
  <c r="J59" i="3"/>
  <c r="K59" i="3"/>
  <c r="B60" i="3"/>
  <c r="C60" i="3"/>
  <c r="D60" i="3"/>
  <c r="E60" i="3"/>
  <c r="F60" i="3"/>
  <c r="G60" i="3"/>
  <c r="H60" i="3"/>
  <c r="I60" i="3"/>
  <c r="J60" i="3"/>
  <c r="K60" i="3"/>
  <c r="B61" i="3"/>
  <c r="C61" i="3"/>
  <c r="D61" i="3"/>
  <c r="E61" i="3"/>
  <c r="F61" i="3"/>
  <c r="G61" i="3"/>
  <c r="H61" i="3"/>
  <c r="I61" i="3"/>
  <c r="J61" i="3"/>
  <c r="K61" i="3"/>
  <c r="B62" i="3"/>
  <c r="C62" i="3"/>
  <c r="D62" i="3"/>
  <c r="E62" i="3"/>
  <c r="F62" i="3"/>
  <c r="G62" i="3"/>
  <c r="H62" i="3"/>
  <c r="I62" i="3"/>
  <c r="J62" i="3"/>
  <c r="K62" i="3"/>
  <c r="B63" i="3"/>
  <c r="C63" i="3"/>
  <c r="D63" i="3"/>
  <c r="E63" i="3"/>
  <c r="F63" i="3"/>
  <c r="G63" i="3"/>
  <c r="H63" i="3"/>
  <c r="I63" i="3"/>
  <c r="J63" i="3"/>
  <c r="K63" i="3"/>
  <c r="B66" i="14" l="1"/>
  <c r="G65" i="14"/>
  <c r="L65" i="14" s="1"/>
  <c r="K66" i="14"/>
  <c r="K67" i="14" s="1"/>
  <c r="K68" i="14" s="1"/>
  <c r="D66" i="14"/>
  <c r="D67" i="14" s="1"/>
  <c r="D68" i="14" s="1"/>
  <c r="L64" i="14"/>
  <c r="I66" i="14"/>
  <c r="I67" i="14" s="1"/>
  <c r="I68" i="14" s="1"/>
  <c r="B67" i="14"/>
  <c r="T2" i="14"/>
  <c r="U2" i="14" s="1"/>
  <c r="T3" i="14"/>
  <c r="T4" i="14"/>
  <c r="T5" i="14"/>
  <c r="T6" i="14"/>
  <c r="T7" i="14"/>
  <c r="B66" i="3"/>
  <c r="B64" i="3"/>
  <c r="G6" i="6"/>
  <c r="D4" i="10"/>
  <c r="F5" i="6"/>
  <c r="C3" i="10"/>
  <c r="E4" i="6"/>
  <c r="B2" i="10"/>
  <c r="K11" i="10"/>
  <c r="N13" i="6"/>
  <c r="J10" i="10"/>
  <c r="M12" i="6"/>
  <c r="I9" i="10"/>
  <c r="L11" i="6"/>
  <c r="K10" i="6"/>
  <c r="H8" i="10"/>
  <c r="J9" i="6"/>
  <c r="G7" i="10"/>
  <c r="I8" i="6"/>
  <c r="F6" i="10"/>
  <c r="H7" i="6"/>
  <c r="E5" i="10"/>
  <c r="D64" i="3"/>
  <c r="D65" i="3" s="1"/>
  <c r="E64" i="3"/>
  <c r="E65" i="3" s="1"/>
  <c r="H64" i="3"/>
  <c r="H65" i="3" s="1"/>
  <c r="I64" i="3"/>
  <c r="I65" i="3" s="1"/>
  <c r="K64" i="3"/>
  <c r="K65" i="3" s="1"/>
  <c r="G64" i="3"/>
  <c r="G65" i="3" s="1"/>
  <c r="C64" i="3"/>
  <c r="C66" i="3" s="1"/>
  <c r="F64" i="3"/>
  <c r="F65" i="3" s="1"/>
  <c r="J64" i="3"/>
  <c r="J65" i="3" s="1"/>
  <c r="L66" i="14" l="1"/>
  <c r="L67" i="14"/>
  <c r="B68" i="14"/>
  <c r="L68" i="14" s="1"/>
  <c r="B65" i="3"/>
  <c r="L64" i="3"/>
  <c r="B67" i="3"/>
  <c r="U3" i="14"/>
  <c r="U4" i="14" s="1"/>
  <c r="U5" i="14" s="1"/>
  <c r="U6" i="14" s="1"/>
  <c r="U7" i="14" s="1"/>
  <c r="E16" i="6" a="1"/>
  <c r="E16" i="6" s="1"/>
  <c r="C67" i="3"/>
  <c r="C68" i="3" s="1"/>
  <c r="B3" i="5" s="1"/>
  <c r="D66" i="3"/>
  <c r="D67" i="3" s="1"/>
  <c r="D68" i="3" s="1"/>
  <c r="C3" i="5" s="1"/>
  <c r="E66" i="3"/>
  <c r="E67" i="3" s="1"/>
  <c r="E68" i="3" s="1"/>
  <c r="D3" i="5" s="1"/>
  <c r="F66" i="3"/>
  <c r="F67" i="3" s="1"/>
  <c r="F68" i="3" s="1"/>
  <c r="E3" i="5" s="1"/>
  <c r="G66" i="3"/>
  <c r="G67" i="3" s="1"/>
  <c r="G68" i="3" s="1"/>
  <c r="F3" i="5" s="1"/>
  <c r="C65" i="3"/>
  <c r="I66" i="3"/>
  <c r="I67" i="3" s="1"/>
  <c r="I68" i="3" s="1"/>
  <c r="H3" i="5" s="1"/>
  <c r="H66" i="3"/>
  <c r="H67" i="3" s="1"/>
  <c r="H68" i="3" s="1"/>
  <c r="G3" i="5" s="1"/>
  <c r="J66" i="3"/>
  <c r="J67" i="3" s="1"/>
  <c r="J68" i="3" s="1"/>
  <c r="I3" i="5" s="1"/>
  <c r="K66" i="3"/>
  <c r="K67" i="3" s="1"/>
  <c r="K68" i="3" s="1"/>
  <c r="J3" i="5" s="1"/>
  <c r="L65" i="3" l="1"/>
  <c r="B68" i="3"/>
  <c r="L67" i="3"/>
  <c r="L66" i="3"/>
  <c r="A3" i="5" l="1"/>
  <c r="L68" i="3"/>
  <c r="AE16" i="6" l="1" a="1"/>
  <c r="AE16" i="6" s="1"/>
  <c r="AF16" i="6" l="1"/>
  <c r="AI16" i="6"/>
  <c r="N25" i="6"/>
  <c r="M25" i="6"/>
  <c r="L25" i="6"/>
  <c r="K25" i="6"/>
  <c r="J25" i="6"/>
  <c r="I25" i="6"/>
  <c r="H25" i="6"/>
  <c r="G25" i="6"/>
  <c r="F25" i="6"/>
  <c r="E25" i="6"/>
  <c r="N24" i="6"/>
  <c r="M24" i="6"/>
  <c r="L24" i="6"/>
  <c r="K24" i="6"/>
  <c r="J24" i="6"/>
  <c r="I24" i="6"/>
  <c r="H24" i="6"/>
  <c r="G24" i="6"/>
  <c r="F24" i="6"/>
  <c r="E24" i="6"/>
  <c r="N23" i="6"/>
  <c r="M23" i="6"/>
  <c r="L23" i="6"/>
  <c r="K23" i="6"/>
  <c r="J23" i="6"/>
  <c r="I23" i="6"/>
  <c r="H23" i="6"/>
  <c r="G23" i="6"/>
  <c r="F23" i="6"/>
  <c r="E23" i="6"/>
  <c r="N22" i="6"/>
  <c r="M22" i="6"/>
  <c r="L22" i="6"/>
  <c r="K22" i="6"/>
  <c r="J22" i="6"/>
  <c r="I22" i="6"/>
  <c r="H22" i="6"/>
  <c r="G22" i="6"/>
  <c r="F22" i="6"/>
  <c r="E22" i="6"/>
  <c r="N21" i="6"/>
  <c r="M21" i="6"/>
  <c r="L21" i="6"/>
  <c r="K21" i="6"/>
  <c r="J21" i="6"/>
  <c r="I21" i="6"/>
  <c r="H21" i="6"/>
  <c r="G21" i="6"/>
  <c r="F21" i="6"/>
  <c r="E21" i="6"/>
  <c r="N20" i="6"/>
  <c r="M20" i="6"/>
  <c r="L20" i="6"/>
  <c r="K20" i="6"/>
  <c r="J20" i="6"/>
  <c r="I20" i="6"/>
  <c r="H20" i="6"/>
  <c r="G20" i="6"/>
  <c r="F20" i="6"/>
  <c r="E20" i="6"/>
  <c r="N19" i="6"/>
  <c r="M19" i="6"/>
  <c r="L19" i="6"/>
  <c r="K19" i="6"/>
  <c r="J19" i="6"/>
  <c r="I19" i="6"/>
  <c r="H19" i="6"/>
  <c r="G19" i="6"/>
  <c r="F19" i="6"/>
  <c r="E19" i="6"/>
  <c r="N18" i="6"/>
  <c r="M18" i="6"/>
  <c r="L18" i="6"/>
  <c r="K18" i="6"/>
  <c r="J18" i="6"/>
  <c r="I18" i="6"/>
  <c r="H18" i="6"/>
  <c r="G18" i="6"/>
  <c r="F18" i="6"/>
  <c r="E18" i="6"/>
  <c r="N17" i="6"/>
  <c r="M17" i="6"/>
  <c r="L17" i="6"/>
  <c r="K17" i="6"/>
  <c r="J17" i="6"/>
  <c r="I17" i="6"/>
  <c r="H17" i="6"/>
  <c r="G17" i="6"/>
  <c r="F17" i="6"/>
  <c r="E17" i="6"/>
  <c r="N16" i="6"/>
  <c r="M16" i="6"/>
  <c r="L16" i="6"/>
  <c r="K16" i="6"/>
  <c r="J16" i="6"/>
  <c r="I16" i="6"/>
  <c r="H16" i="6"/>
  <c r="G16" i="6"/>
  <c r="F16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<sst xmlns="http://schemas.openxmlformats.org/spreadsheetml/2006/main" count="293" uniqueCount="136">
  <si>
    <t>Date</t>
  </si>
  <si>
    <t>AAPL</t>
  </si>
  <si>
    <t>AMZN</t>
  </si>
  <si>
    <t>AVGO</t>
  </si>
  <si>
    <t>GOOGL</t>
  </si>
  <si>
    <t>MA</t>
  </si>
  <si>
    <t>META</t>
  </si>
  <si>
    <t>MSFT</t>
  </si>
  <si>
    <t>NVDA</t>
  </si>
  <si>
    <t>ORCL</t>
  </si>
  <si>
    <t>TSLA</t>
  </si>
  <si>
    <t>EXPECTED RETURNS</t>
  </si>
  <si>
    <t>Monthly MEAN RETURN</t>
  </si>
  <si>
    <t>annual MEAN RETURN</t>
  </si>
  <si>
    <t>Variance</t>
  </si>
  <si>
    <t>annual VAR</t>
  </si>
  <si>
    <t>standard Dev annual</t>
  </si>
  <si>
    <t>Total</t>
  </si>
  <si>
    <t>monthly var-covar matrix</t>
  </si>
  <si>
    <t>Portfolio</t>
  </si>
  <si>
    <t>Annual var-covar matrix</t>
  </si>
  <si>
    <t>omega 1</t>
  </si>
  <si>
    <t>omega 2</t>
  </si>
  <si>
    <t>omega 3</t>
  </si>
  <si>
    <t>omega 4</t>
  </si>
  <si>
    <t>omega 5</t>
  </si>
  <si>
    <t>omega 6</t>
  </si>
  <si>
    <t>omega 7</t>
  </si>
  <si>
    <t>omega 8</t>
  </si>
  <si>
    <t>omega 9</t>
  </si>
  <si>
    <t>omega 10</t>
  </si>
  <si>
    <t>Mean</t>
  </si>
  <si>
    <t>Var</t>
  </si>
  <si>
    <t>Sigma</t>
  </si>
  <si>
    <t>Constraint on weights</t>
  </si>
  <si>
    <t>A</t>
  </si>
  <si>
    <t>Utility</t>
  </si>
  <si>
    <t>Initial portfolio</t>
  </si>
  <si>
    <t>GMVP</t>
  </si>
  <si>
    <t>Eff PF with mean = 20%</t>
  </si>
  <si>
    <t>Eff PF with mean = 25%</t>
  </si>
  <si>
    <t>Eff PF with mean = 30%</t>
  </si>
  <si>
    <t>Eff PF with mean = 35%</t>
  </si>
  <si>
    <t>Eff PF with mean = 40%</t>
  </si>
  <si>
    <t>Eff PF with mean = 45%</t>
  </si>
  <si>
    <t>Eff PF with mean = 50%</t>
  </si>
  <si>
    <t>Eff PF with mean = 51%</t>
  </si>
  <si>
    <t>Risk free rate</t>
  </si>
  <si>
    <t>Effective PF</t>
  </si>
  <si>
    <t>Mutual fund SEEGX</t>
  </si>
  <si>
    <t>Russell 1000</t>
  </si>
  <si>
    <t>MSCI World index</t>
  </si>
  <si>
    <t>Sharpe ratio</t>
  </si>
  <si>
    <t>Rf =</t>
  </si>
  <si>
    <t>Beta</t>
  </si>
  <si>
    <t>US Bonds</t>
  </si>
  <si>
    <t>Jensen's alpha</t>
  </si>
  <si>
    <t>Treynor ratio</t>
  </si>
  <si>
    <t>Rm =</t>
  </si>
  <si>
    <t>Standard deviation</t>
  </si>
  <si>
    <t>Holdings</t>
  </si>
  <si>
    <t>Colonne1</t>
  </si>
  <si>
    <t>Colonne2</t>
  </si>
  <si>
    <t>Top 10 (%)</t>
  </si>
  <si>
    <t>Sector</t>
  </si>
  <si>
    <t>Constituents</t>
  </si>
  <si>
    <t>Weight (%)</t>
  </si>
  <si>
    <t>Information Technology</t>
  </si>
  <si>
    <t>AVGO (47.5%) + ORCL (19.8%) + NVDA (3.6%) + AAPL (2.6%)</t>
  </si>
  <si>
    <t>73.5 %</t>
  </si>
  <si>
    <t>Communication Services</t>
  </si>
  <si>
    <t>GOOGL (14.5%)</t>
  </si>
  <si>
    <t>14.5 %</t>
  </si>
  <si>
    <t>Financials</t>
  </si>
  <si>
    <t>MA (12.0%)</t>
  </si>
  <si>
    <t>12.0 %</t>
  </si>
  <si>
    <t>Other Sectors</t>
  </si>
  <si>
    <t>AMZN, META, MSFT, TSLA (0%)</t>
  </si>
  <si>
    <t>somme annual return</t>
  </si>
  <si>
    <t>Année</t>
  </si>
  <si>
    <t>SEEGX (JPMorgan Large Cap Growth I)</t>
  </si>
  <si>
    <t>Russell 1000 (Total Return)</t>
  </si>
  <si>
    <t>MSCI World (Net TR, USD)</t>
  </si>
  <si>
    <t>Group Portfolio</t>
  </si>
  <si>
    <t>SEEGX</t>
  </si>
  <si>
    <t>MSCI World</t>
  </si>
  <si>
    <t>Year</t>
  </si>
  <si>
    <t>Performance of the year</t>
  </si>
  <si>
    <t>Metric</t>
  </si>
  <si>
    <t>Value</t>
  </si>
  <si>
    <t>Interpretation (Group Portfolio)</t>
  </si>
  <si>
    <t>Sharpe Ratio</t>
  </si>
  <si>
    <t>1.27</t>
  </si>
  <si>
    <t>Indicates strong risk-adjusted performance investors are well compensated for volatility.</t>
  </si>
  <si>
    <t>1.24</t>
  </si>
  <si>
    <t>Slightly more sensitive to market movements, reflecting higher exposure to growth stocks.</t>
  </si>
  <si>
    <t>Alpha</t>
  </si>
  <si>
    <t>+0.185</t>
  </si>
  <si>
    <t>Positive excess return versus expected benchmark performance.</t>
  </si>
  <si>
    <t>Treynor Ratio</t>
  </si>
  <si>
    <t>0.26</t>
  </si>
  <si>
    <t>Solid return per unit of market risk, showing efficient portfolio management.</t>
  </si>
  <si>
    <t>Standard Deviation</t>
  </si>
  <si>
    <t>Moderate volatility consistent with a high-growth equity portfolio.</t>
  </si>
  <si>
    <t>DÉTAIL IMPORTANT</t>
  </si>
  <si>
    <t>Vous avez inséré une recommandation qui utilise un tableau croisé dynamique.</t>
  </si>
  <si>
    <t>Les tableaux croisés dynamiques fonctionnent mieux lorsque les données sont organisées en colonnes et ne comportent qu’une seule ligne d’en-tête. C’est ce que nous avons fait ci-dessous.</t>
  </si>
  <si>
    <t>Champ1</t>
  </si>
  <si>
    <t>Champ3</t>
  </si>
  <si>
    <t>Champ4</t>
  </si>
  <si>
    <t>Champ5</t>
  </si>
  <si>
    <t>Champ6</t>
  </si>
  <si>
    <t>Champ7</t>
  </si>
  <si>
    <t>Champ8</t>
  </si>
  <si>
    <t>Champ9</t>
  </si>
  <si>
    <t>Champ10</t>
  </si>
  <si>
    <t>Champ11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</si>
  <si>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</si>
  <si>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</si>
  <si>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</si>
  <si>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</si>
  <si>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</si>
  <si>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</si>
  <si>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</si>
  <si>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</si>
  <si>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</si>
  <si>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</si>
  <si>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Effective PF choosen</t>
  </si>
  <si>
    <t>Allocation of the portfolio</t>
  </si>
  <si>
    <t>Comparison between the different funds</t>
  </si>
  <si>
    <t>Repartition between the different sector</t>
  </si>
  <si>
    <t>Results with $10000 investments</t>
  </si>
  <si>
    <t>Results of the different funds</t>
  </si>
  <si>
    <t>Performance of our portfolio throught the years</t>
  </si>
  <si>
    <t>The differents ratio of our portfolio and the explanation of them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</si>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</sst>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000%"/>
    <numFmt numFmtId="166" formatCode="_-* #,##0_-;\-* #,##0_-;_-* &quot;-&quot;??_-;_-@_-"/>
    <numFmt numFmtId="167" formatCode="#,##0.00\ &quot;€&quot;"/>
    <numFmt numFmtId="168" formatCode="_-* #,##0.000_-;\-* #,##0.000_-;_-* &quot;-&quot;??_-;_-@_-"/>
  </numFmts>
  <fonts count="2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Calibri"/>
      <family val="2"/>
    </font>
    <font>
      <b/>
      <i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rgb="FF628061"/>
      <name val="Aptos Narrow"/>
      <family val="2"/>
      <scheme val="minor"/>
    </font>
    <font>
      <b/>
      <sz val="11"/>
      <color theme="1"/>
      <name val="Calibri"/>
      <family val="2"/>
    </font>
    <font>
      <b/>
      <sz val="18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0">
    <xf numFmtId="0" fontId="0" fillId="0" borderId="0" xfId="0"/>
    <xf numFmtId="0" fontId="1" fillId="0" borderId="1" xfId="0" applyFont="1" applyBorder="1"/>
    <xf numFmtId="0" fontId="2" fillId="0" borderId="0" xfId="0" applyFont="1"/>
    <xf numFmtId="164" fontId="0" fillId="0" borderId="0" xfId="0" applyNumberFormat="1"/>
    <xf numFmtId="164" fontId="1" fillId="0" borderId="1" xfId="0" applyNumberFormat="1" applyFont="1" applyBorder="1"/>
    <xf numFmtId="14" fontId="0" fillId="0" borderId="0" xfId="0" applyNumberFormat="1"/>
    <xf numFmtId="0" fontId="3" fillId="0" borderId="3" xfId="0" applyFont="1" applyBorder="1"/>
    <xf numFmtId="14" fontId="3" fillId="0" borderId="3" xfId="0" applyNumberFormat="1" applyFont="1" applyBorder="1"/>
    <xf numFmtId="0" fontId="4" fillId="0" borderId="0" xfId="0" applyFont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0" xfId="1" applyFont="1"/>
    <xf numFmtId="0" fontId="0" fillId="0" borderId="14" xfId="0" applyBorder="1"/>
    <xf numFmtId="0" fontId="11" fillId="0" borderId="16" xfId="0" applyFont="1" applyBorder="1" applyAlignment="1">
      <alignment horizontal="center"/>
    </xf>
    <xf numFmtId="0" fontId="3" fillId="0" borderId="0" xfId="0" applyFont="1"/>
    <xf numFmtId="10" fontId="0" fillId="0" borderId="0" xfId="1" applyNumberFormat="1" applyFont="1"/>
    <xf numFmtId="0" fontId="5" fillId="0" borderId="0" xfId="0" applyFont="1"/>
    <xf numFmtId="0" fontId="10" fillId="0" borderId="0" xfId="0" applyFont="1"/>
    <xf numFmtId="14" fontId="3" fillId="0" borderId="4" xfId="0" applyNumberFormat="1" applyFont="1" applyBorder="1"/>
    <xf numFmtId="0" fontId="9" fillId="0" borderId="17" xfId="0" applyFont="1" applyBorder="1"/>
    <xf numFmtId="10" fontId="3" fillId="0" borderId="18" xfId="1" applyNumberFormat="1" applyFont="1" applyBorder="1"/>
    <xf numFmtId="10" fontId="3" fillId="0" borderId="19" xfId="1" applyNumberFormat="1" applyFont="1" applyBorder="1"/>
    <xf numFmtId="10" fontId="5" fillId="0" borderId="18" xfId="1" applyNumberFormat="1" applyFont="1" applyBorder="1"/>
    <xf numFmtId="10" fontId="5" fillId="0" borderId="19" xfId="1" applyNumberFormat="1" applyFont="1" applyBorder="1"/>
    <xf numFmtId="10" fontId="3" fillId="0" borderId="18" xfId="1" applyNumberFormat="1" applyFont="1" applyBorder="1" applyAlignment="1">
      <alignment wrapText="1"/>
    </xf>
    <xf numFmtId="10" fontId="3" fillId="0" borderId="19" xfId="1" applyNumberFormat="1" applyFont="1" applyBorder="1" applyAlignment="1">
      <alignment wrapText="1"/>
    </xf>
    <xf numFmtId="10" fontId="5" fillId="0" borderId="0" xfId="1" applyNumberFormat="1" applyFont="1"/>
    <xf numFmtId="165" fontId="0" fillId="0" borderId="0" xfId="1" applyNumberFormat="1" applyFont="1"/>
    <xf numFmtId="10" fontId="5" fillId="0" borderId="0" xfId="1" applyNumberFormat="1" applyFont="1" applyAlignme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9" fontId="1" fillId="0" borderId="2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9" fontId="14" fillId="0" borderId="0" xfId="1" applyFont="1" applyFill="1" applyBorder="1" applyAlignment="1">
      <alignment horizontal="center"/>
    </xf>
    <xf numFmtId="166" fontId="0" fillId="0" borderId="0" xfId="2" applyNumberFormat="1" applyFont="1"/>
    <xf numFmtId="9" fontId="0" fillId="0" borderId="22" xfId="1" applyFont="1" applyBorder="1" applyAlignment="1">
      <alignment horizontal="center"/>
    </xf>
    <xf numFmtId="9" fontId="0" fillId="0" borderId="23" xfId="1" applyFont="1" applyBorder="1"/>
    <xf numFmtId="0" fontId="0" fillId="0" borderId="23" xfId="0" applyBorder="1"/>
    <xf numFmtId="9" fontId="3" fillId="0" borderId="23" xfId="1" applyFont="1" applyBorder="1"/>
    <xf numFmtId="9" fontId="3" fillId="0" borderId="0" xfId="1" applyFont="1"/>
    <xf numFmtId="14" fontId="15" fillId="0" borderId="17" xfId="0" applyNumberFormat="1" applyFont="1" applyBorder="1"/>
    <xf numFmtId="0" fontId="15" fillId="0" borderId="17" xfId="0" applyFont="1" applyBorder="1"/>
    <xf numFmtId="0" fontId="16" fillId="0" borderId="0" xfId="0" applyFont="1"/>
    <xf numFmtId="9" fontId="16" fillId="0" borderId="0" xfId="0" applyNumberFormat="1" applyFont="1"/>
    <xf numFmtId="0" fontId="0" fillId="2" borderId="0" xfId="0" applyFill="1"/>
    <xf numFmtId="0" fontId="0" fillId="3" borderId="0" xfId="0" applyFill="1"/>
    <xf numFmtId="0" fontId="0" fillId="3" borderId="24" xfId="0" applyFill="1" applyBorder="1"/>
    <xf numFmtId="10" fontId="0" fillId="3" borderId="24" xfId="0" applyNumberFormat="1" applyFill="1" applyBorder="1"/>
    <xf numFmtId="10" fontId="0" fillId="3" borderId="25" xfId="0" applyNumberFormat="1" applyFill="1" applyBorder="1"/>
    <xf numFmtId="2" fontId="0" fillId="3" borderId="24" xfId="0" applyNumberFormat="1" applyFill="1" applyBorder="1"/>
    <xf numFmtId="2" fontId="0" fillId="3" borderId="25" xfId="0" applyNumberFormat="1" applyFill="1" applyBorder="1"/>
    <xf numFmtId="0" fontId="0" fillId="3" borderId="25" xfId="0" applyFill="1" applyBorder="1"/>
    <xf numFmtId="10" fontId="0" fillId="3" borderId="25" xfId="0" applyNumberFormat="1" applyFill="1" applyBorder="1" applyAlignment="1">
      <alignment horizontal="left"/>
    </xf>
    <xf numFmtId="0" fontId="17" fillId="3" borderId="25" xfId="0" applyFont="1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18" fillId="3" borderId="26" xfId="0" applyFont="1" applyFill="1" applyBorder="1" applyAlignment="1">
      <alignment horizontal="left"/>
    </xf>
    <xf numFmtId="0" fontId="19" fillId="3" borderId="26" xfId="0" applyFont="1" applyFill="1" applyBorder="1" applyAlignment="1">
      <alignment horizontal="left"/>
    </xf>
    <xf numFmtId="164" fontId="20" fillId="0" borderId="1" xfId="0" applyNumberFormat="1" applyFont="1" applyBorder="1"/>
    <xf numFmtId="0" fontId="16" fillId="0" borderId="3" xfId="0" applyFont="1" applyBorder="1"/>
    <xf numFmtId="164" fontId="16" fillId="0" borderId="3" xfId="0" applyNumberFormat="1" applyFont="1" applyBorder="1"/>
    <xf numFmtId="10" fontId="16" fillId="0" borderId="3" xfId="0" applyNumberFormat="1" applyFont="1" applyBorder="1"/>
    <xf numFmtId="9" fontId="16" fillId="4" borderId="3" xfId="0" applyNumberFormat="1" applyFont="1" applyFill="1" applyBorder="1"/>
    <xf numFmtId="10" fontId="16" fillId="4" borderId="3" xfId="0" applyNumberFormat="1" applyFont="1" applyFill="1" applyBorder="1"/>
    <xf numFmtId="2" fontId="16" fillId="4" borderId="3" xfId="0" applyNumberFormat="1" applyFont="1" applyFill="1" applyBorder="1"/>
    <xf numFmtId="9" fontId="16" fillId="5" borderId="3" xfId="0" applyNumberFormat="1" applyFont="1" applyFill="1" applyBorder="1"/>
    <xf numFmtId="164" fontId="16" fillId="5" borderId="3" xfId="0" applyNumberFormat="1" applyFont="1" applyFill="1" applyBorder="1"/>
    <xf numFmtId="10" fontId="16" fillId="5" borderId="3" xfId="0" applyNumberFormat="1" applyFont="1" applyFill="1" applyBorder="1"/>
    <xf numFmtId="2" fontId="16" fillId="5" borderId="3" xfId="0" applyNumberFormat="1" applyFont="1" applyFill="1" applyBorder="1"/>
    <xf numFmtId="164" fontId="0" fillId="0" borderId="0" xfId="0" applyNumberFormat="1" applyAlignment="1">
      <alignment wrapText="1"/>
    </xf>
    <xf numFmtId="0" fontId="3" fillId="3" borderId="0" xfId="0" applyFont="1" applyFill="1"/>
    <xf numFmtId="0" fontId="3" fillId="3" borderId="26" xfId="0" applyFont="1" applyFill="1" applyBorder="1"/>
    <xf numFmtId="0" fontId="3" fillId="3" borderId="26" xfId="0" applyFont="1" applyFill="1" applyBorder="1" applyAlignment="1">
      <alignment wrapText="1"/>
    </xf>
    <xf numFmtId="0" fontId="3" fillId="3" borderId="25" xfId="0" applyFont="1" applyFill="1" applyBorder="1"/>
    <xf numFmtId="0" fontId="0" fillId="3" borderId="25" xfId="0" applyFill="1" applyBorder="1" applyAlignment="1">
      <alignment wrapText="1"/>
    </xf>
    <xf numFmtId="0" fontId="3" fillId="3" borderId="25" xfId="0" applyFont="1" applyFill="1" applyBorder="1" applyAlignment="1">
      <alignment horizontal="left"/>
    </xf>
    <xf numFmtId="0" fontId="3" fillId="3" borderId="24" xfId="0" applyFont="1" applyFill="1" applyBorder="1"/>
    <xf numFmtId="0" fontId="0" fillId="3" borderId="24" xfId="0" applyFill="1" applyBorder="1" applyAlignment="1">
      <alignment wrapText="1"/>
    </xf>
    <xf numFmtId="9" fontId="3" fillId="3" borderId="24" xfId="0" applyNumberFormat="1" applyFont="1" applyFill="1" applyBorder="1" applyAlignment="1">
      <alignment horizontal="left"/>
    </xf>
    <xf numFmtId="10" fontId="3" fillId="0" borderId="0" xfId="0" applyNumberFormat="1" applyFont="1"/>
    <xf numFmtId="10" fontId="3" fillId="0" borderId="0" xfId="0" quotePrefix="1" applyNumberFormat="1" applyFont="1"/>
    <xf numFmtId="10" fontId="0" fillId="0" borderId="0" xfId="0" applyNumberFormat="1"/>
    <xf numFmtId="0" fontId="3" fillId="3" borderId="26" xfId="0" applyFont="1" applyFill="1" applyBorder="1" applyAlignment="1">
      <alignment horizontal="left"/>
    </xf>
    <xf numFmtId="10" fontId="21" fillId="3" borderId="24" xfId="0" applyNumberFormat="1" applyFont="1" applyFill="1" applyBorder="1" applyAlignment="1">
      <alignment horizontal="left"/>
    </xf>
    <xf numFmtId="0" fontId="0" fillId="3" borderId="25" xfId="0" quotePrefix="1" applyFill="1" applyBorder="1"/>
    <xf numFmtId="9" fontId="0" fillId="3" borderId="24" xfId="0" applyNumberFormat="1" applyFill="1" applyBorder="1" applyAlignment="1">
      <alignment horizontal="left"/>
    </xf>
    <xf numFmtId="0" fontId="1" fillId="0" borderId="27" xfId="0" applyFont="1" applyBorder="1"/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22" fillId="0" borderId="0" xfId="0" applyFont="1"/>
    <xf numFmtId="164" fontId="1" fillId="0" borderId="27" xfId="0" applyNumberFormat="1" applyFont="1" applyBorder="1"/>
    <xf numFmtId="10" fontId="3" fillId="0" borderId="30" xfId="1" applyNumberFormat="1" applyFont="1" applyBorder="1"/>
    <xf numFmtId="10" fontId="3" fillId="0" borderId="31" xfId="1" applyNumberFormat="1" applyFont="1" applyBorder="1"/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4" fontId="3" fillId="0" borderId="28" xfId="0" applyNumberFormat="1" applyFont="1" applyBorder="1" applyAlignment="1">
      <alignment horizontal="center"/>
    </xf>
    <xf numFmtId="14" fontId="3" fillId="0" borderId="29" xfId="0" applyNumberFormat="1" applyFont="1" applyBorder="1" applyAlignment="1">
      <alignment horizontal="center"/>
    </xf>
    <xf numFmtId="14" fontId="15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32" xfId="1" applyNumberFormat="1" applyFont="1" applyBorder="1"/>
    <xf numFmtId="10" fontId="3" fillId="0" borderId="33" xfId="1" applyNumberFormat="1" applyFont="1" applyBorder="1"/>
    <xf numFmtId="10" fontId="3" fillId="0" borderId="34" xfId="1" applyNumberFormat="1" applyFont="1" applyBorder="1"/>
    <xf numFmtId="10" fontId="5" fillId="0" borderId="35" xfId="1" applyNumberFormat="1" applyFont="1" applyBorder="1"/>
    <xf numFmtId="10" fontId="3" fillId="0" borderId="35" xfId="1" applyNumberFormat="1" applyFont="1" applyBorder="1" applyAlignment="1">
      <alignment wrapText="1"/>
    </xf>
    <xf numFmtId="0" fontId="1" fillId="0" borderId="21" xfId="0" applyFont="1" applyBorder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wrapText="1"/>
    </xf>
    <xf numFmtId="167" fontId="24" fillId="0" borderId="0" xfId="0" applyNumberFormat="1" applyFont="1"/>
    <xf numFmtId="168" fontId="16" fillId="0" borderId="3" xfId="2" applyNumberFormat="1" applyFont="1" applyBorder="1"/>
    <xf numFmtId="164" fontId="1" fillId="0" borderId="15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3" fillId="0" borderId="20" xfId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164" fontId="20" fillId="0" borderId="15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</cellXfs>
  <cellStyles count="3">
    <cellStyle name="Milliers" xfId="2" builtinId="3"/>
    <cellStyle name="Normal" xfId="0" builtinId="0"/>
    <cellStyle name="Pourcentage" xfId="1" builtinId="5"/>
  </cellStyles>
  <dxfs count="2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border outline="0">
        <left style="thin">
          <color rgb="FF000000"/>
        </left>
        <top style="thin">
          <color indexed="64"/>
        </top>
        <bottom style="medium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Medium9"/>
  <colors>
    <mruColors>
      <color rgb="FFFFFCF9"/>
      <color rgb="FF628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Efficient portfolio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057189660525165E-2"/>
          <c:y val="0.12233151411034023"/>
          <c:w val="0.8789812571524247"/>
          <c:h val="0.65603232789124655"/>
        </c:manualLayout>
      </c:layout>
      <c:scatterChart>
        <c:scatterStyle val="smoothMarker"/>
        <c:varyColors val="0"/>
        <c:ser>
          <c:idx val="0"/>
          <c:order val="0"/>
          <c:tx>
            <c:v>Efficient portfolio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814758321781987E-2"/>
                  <c:y val="1.48667266581742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GMVP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34F-48E6-BA14-E13B193F5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'Variance-Covariance'!$AF$20:$AF$28</c:f>
              <c:numCache>
                <c:formatCode>0%</c:formatCode>
                <c:ptCount val="9"/>
                <c:pt idx="0">
                  <c:v>0.17393548467731315</c:v>
                </c:pt>
                <c:pt idx="1">
                  <c:v>0.18144277092455996</c:v>
                </c:pt>
                <c:pt idx="2">
                  <c:v>0.19802524451512879</c:v>
                </c:pt>
                <c:pt idx="3">
                  <c:v>0.22021991181090256</c:v>
                </c:pt>
                <c:pt idx="4">
                  <c:v>0.24631218717714326</c:v>
                </c:pt>
                <c:pt idx="5">
                  <c:v>0.27541565933548717</c:v>
                </c:pt>
                <c:pt idx="6">
                  <c:v>0.30788539446784435</c:v>
                </c:pt>
                <c:pt idx="7">
                  <c:v>0.40745705792250664</c:v>
                </c:pt>
                <c:pt idx="8">
                  <c:v>0.48492710671953959</c:v>
                </c:pt>
              </c:numCache>
            </c:numRef>
          </c:xVal>
          <c:yVal>
            <c:numRef>
              <c:f>'Variance-Covariance'!$AD$20:$AD$28</c:f>
              <c:numCache>
                <c:formatCode>0%</c:formatCode>
                <c:ptCount val="9"/>
                <c:pt idx="0">
                  <c:v>0.1590200325007457</c:v>
                </c:pt>
                <c:pt idx="1">
                  <c:v>0.20000000099236942</c:v>
                </c:pt>
                <c:pt idx="2">
                  <c:v>0.25000000303278369</c:v>
                </c:pt>
                <c:pt idx="3">
                  <c:v>0.29999999926761167</c:v>
                </c:pt>
                <c:pt idx="4">
                  <c:v>0.34999999917168145</c:v>
                </c:pt>
                <c:pt idx="5">
                  <c:v>0.40000099920750437</c:v>
                </c:pt>
                <c:pt idx="6">
                  <c:v>0.44999999893075576</c:v>
                </c:pt>
                <c:pt idx="7">
                  <c:v>0.50000000000033462</c:v>
                </c:pt>
                <c:pt idx="8">
                  <c:v>0.51174348668741909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4F-48E6-BA14-E13B193F5D87}"/>
            </c:ext>
          </c:extLst>
        </c:ser>
        <c:ser>
          <c:idx val="1"/>
          <c:order val="1"/>
          <c:tx>
            <c:v>Risk free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'Variance-Covariance'!$AF$29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'Variance-Covariance'!$AD$29</c:f>
              <c:numCache>
                <c:formatCode>0%</c:formatCode>
                <c:ptCount val="1"/>
                <c:pt idx="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1E-4DFD-B566-98608630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947439"/>
        <c:axId val="1444940239"/>
      </c:scatterChart>
      <c:valAx>
        <c:axId val="144494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Standar</a:t>
                </a:r>
                <a:r>
                  <a:rPr lang="fr-FR" baseline="0"/>
                  <a:t> deviation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0239"/>
        <c:crosses val="autoZero"/>
        <c:crossBetween val="midCat"/>
      </c:valAx>
      <c:valAx>
        <c:axId val="14449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Expected</a:t>
                </a:r>
                <a:r>
                  <a:rPr lang="fr-FR" baseline="0"/>
                  <a:t> return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Company</a:t>
            </a:r>
          </a:p>
        </c:rich>
      </c:tx>
      <c:layout>
        <c:manualLayout>
          <c:xMode val="edge"/>
          <c:yMode val="edge"/>
          <c:x val="0.23930481909531207"/>
          <c:y val="3.777004851780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40-4CA6-86E5-CF17588353D1}"/>
              </c:ext>
            </c:extLst>
          </c:dPt>
          <c:cat>
            <c:strRef>
              <c:f>'Fact Sheet'!$B$13:$B$18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Sheet'!$C$13:$C$18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611-477A-9F0E-78AF9C43E22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F40-4CA6-86E5-CF17588353D1}"/>
              </c:ext>
            </c:extLst>
          </c:dPt>
          <c:cat>
            <c:strRef>
              <c:f>'Fact Sheet'!$B$13:$B$18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Sheet'!$D$13:$D$18</c:f>
              <c:numCache>
                <c:formatCode>0.00%</c:formatCode>
                <c:ptCount val="6"/>
                <c:pt idx="0">
                  <c:v>0.47501974157141491</c:v>
                </c:pt>
                <c:pt idx="1">
                  <c:v>0.1980803499155466</c:v>
                </c:pt>
                <c:pt idx="2">
                  <c:v>0.14450369445422295</c:v>
                </c:pt>
                <c:pt idx="3">
                  <c:v>0.12041573537610309</c:v>
                </c:pt>
                <c:pt idx="4">
                  <c:v>3.5991036632313865E-2</c:v>
                </c:pt>
                <c:pt idx="5">
                  <c:v>2.5989442050399002E-2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1-477A-9F0E-78AF9C43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C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Results</a:t>
            </a:r>
            <a:r>
              <a:rPr lang="fr-FR" baseline="0"/>
              <a:t> of the funds with $10000 investment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'Fact Sheet 2'!$AD$7</c:f>
              <c:strCache>
                <c:ptCount val="1"/>
                <c:pt idx="0">
                  <c:v>SEEGX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2'!$AD$8:$AD$14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15604</c:v>
                </c:pt>
                <c:pt idx="2">
                  <c:v>18489.179599999999</c:v>
                </c:pt>
                <c:pt idx="3">
                  <c:v>13791.07906364</c:v>
                </c:pt>
                <c:pt idx="4">
                  <c:v>18565.550635472169</c:v>
                </c:pt>
                <c:pt idx="5">
                  <c:v>24848.132970515951</c:v>
                </c:pt>
                <c:pt idx="6">
                  <c:v>28893.409018115948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E-4C90-A701-91DE5D49F8F2}"/>
            </c:ext>
          </c:extLst>
        </c:ser>
        <c:ser>
          <c:idx val="1"/>
          <c:order val="1"/>
          <c:tx>
            <c:strRef>
              <c:f>'Fact Sheet 2'!$AE$7</c:f>
              <c:strCache>
                <c:ptCount val="1"/>
                <c:pt idx="0">
                  <c:v>Russell 1000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2'!$AE$8:$AE$14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12096</c:v>
                </c:pt>
                <c:pt idx="2">
                  <c:v>15296.6016</c:v>
                </c:pt>
                <c:pt idx="3">
                  <c:v>12370.36171392</c:v>
                </c:pt>
                <c:pt idx="4">
                  <c:v>15652.218676622973</c:v>
                </c:pt>
                <c:pt idx="5">
                  <c:v>19488.577474263264</c:v>
                </c:pt>
                <c:pt idx="6">
                  <c:v>22844.510515331396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9E-4C90-A701-91DE5D49F8F2}"/>
            </c:ext>
          </c:extLst>
        </c:ser>
        <c:ser>
          <c:idx val="2"/>
          <c:order val="2"/>
          <c:tx>
            <c:strRef>
              <c:f>'Fact Sheet 2'!$AF$7</c:f>
              <c:strCache>
                <c:ptCount val="1"/>
                <c:pt idx="0">
                  <c:v>MSCI World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2'!$AF$8:$AF$14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11590</c:v>
                </c:pt>
                <c:pt idx="2">
                  <c:v>14118.938</c:v>
                </c:pt>
                <c:pt idx="3">
                  <c:v>11557.7626468</c:v>
                </c:pt>
                <c:pt idx="4">
                  <c:v>14307.35438047372</c:v>
                </c:pt>
                <c:pt idx="5">
                  <c:v>16978.537443308163</c:v>
                </c:pt>
                <c:pt idx="6">
                  <c:v>20292.747952241916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9E-4C90-A701-91DE5D49F8F2}"/>
            </c:ext>
          </c:extLst>
        </c:ser>
        <c:ser>
          <c:idx val="3"/>
          <c:order val="3"/>
          <c:tx>
            <c:strRef>
              <c:f>'Fact Sheet 2'!$AG$7</c:f>
              <c:strCache>
                <c:ptCount val="1"/>
                <c:pt idx="0">
                  <c:v>Group Portfolio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2'!$AG$8:$AG$14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15809.506928427223</c:v>
                </c:pt>
                <c:pt idx="2">
                  <c:v>21572.206512212149</c:v>
                </c:pt>
                <c:pt idx="3">
                  <c:v>18047.898764465404</c:v>
                </c:pt>
                <c:pt idx="4">
                  <c:v>30758.776122872372</c:v>
                </c:pt>
                <c:pt idx="5">
                  <c:v>50831.487060014784</c:v>
                </c:pt>
                <c:pt idx="6">
                  <c:v>87651.06998874445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9E-4C90-A701-91DE5D49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760711"/>
        <c:axId val="690783751"/>
      </c:lineChart>
      <c:catAx>
        <c:axId val="6907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783751"/>
        <c:crosses val="autoZero"/>
        <c:auto val="1"/>
        <c:lblAlgn val="ctr"/>
        <c:lblOffset val="100"/>
        <c:noMultiLvlLbl val="0"/>
      </c:catAx>
      <c:valAx>
        <c:axId val="690783751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76071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129849</xdr:colOff>
      <xdr:row>39</xdr:row>
      <xdr:rowOff>85642</xdr:rowOff>
    </xdr:from>
    <xdr:to>
      <xdr:col>31</xdr:col>
      <xdr:colOff>252372</xdr:colOff>
      <xdr:row>59</xdr:row>
      <xdr:rowOff>36635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23DAF7-AEC9-585B-4F55-BBB76D388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111125</xdr:rowOff>
    </xdr:from>
    <xdr:to>
      <xdr:col>5</xdr:col>
      <xdr:colOff>574675</xdr:colOff>
      <xdr:row>35</xdr:row>
      <xdr:rowOff>50800</xdr:rowOff>
    </xdr:to>
    <xdr:graphicFrame macro="">
      <xdr:nvGraphicFramePr>
        <xdr:cNvPr id="30" name="Graphique 2">
          <a:extLst>
            <a:ext uri="{FF2B5EF4-FFF2-40B4-BE49-F238E27FC236}">
              <a16:creationId xmlns:a16="http://schemas.microsoft.com/office/drawing/2014/main" id="{85522BC6-DDE3-F0C7-82AB-2448D7A3B190}"/>
            </a:ext>
            <a:ext uri="{147F2762-F138-4A5C-976F-8EAC2B608ADB}">
              <a16:predDERef xmlns:a16="http://schemas.microsoft.com/office/drawing/2014/main" pred="{9431D25E-E908-1086-5E76-8F05C0A05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66676</xdr:colOff>
      <xdr:row>17</xdr:row>
      <xdr:rowOff>191808</xdr:rowOff>
    </xdr:from>
    <xdr:to>
      <xdr:col>30</xdr:col>
      <xdr:colOff>502024</xdr:colOff>
      <xdr:row>35</xdr:row>
      <xdr:rowOff>62566</xdr:rowOff>
    </xdr:to>
    <xdr:graphicFrame macro="">
      <xdr:nvGraphicFramePr>
        <xdr:cNvPr id="7" name="Graphique 1">
          <a:extLst>
            <a:ext uri="{FF2B5EF4-FFF2-40B4-BE49-F238E27FC236}">
              <a16:creationId xmlns:a16="http://schemas.microsoft.com/office/drawing/2014/main" id="{D0072EF5-7FDC-2AD5-7218-856A7284230C}"/>
            </a:ext>
            <a:ext uri="{147F2762-F138-4A5C-976F-8EAC2B608ADB}">
              <a16:predDERef xmlns:a16="http://schemas.microsoft.com/office/drawing/2014/main" pred="{2AABBFB4-E361-D60F-D13A-FA18A6450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CE8A84D8-9E65-4080-AC24-61C559EFD92C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7.501627430553" createdVersion="8" refreshedVersion="8" minRefreshableVersion="3" recordCount="122" xr:uid="{98649313-F320-4F5C-90EE-B0F50FCF92DB}">
  <cacheSource type="worksheet">
    <worksheetSource ref="C6:M128" sheet="Feuil2"/>
  </cacheSource>
  <cacheFields count="11">
    <cacheField name="Champ1" numFmtId="0">
      <sharedItems containsDate="1" containsMixedTypes="1" minDate="2015-10-01T00:00:00" maxDate="2025-10-02T00:00:00" count="122">
        <s v="Date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</sharedItems>
    </cacheField>
    <cacheField name="EXPECTED RETURNS" numFmtId="164">
      <sharedItems containsBlank="1" containsMixedTypes="1" containsNumber="1" minValue="-0.20339584506422201" maxValue="0.19423417677218699"/>
    </cacheField>
    <cacheField name="Champ3" numFmtId="164">
      <sharedItems containsBlank="1" containsMixedTypes="1" containsNumber="1" minValue="-0.27118570929338198" maxValue="0.239486073130565"/>
    </cacheField>
    <cacheField name="Champ4" numFmtId="164">
      <sharedItems containsBlank="1" containsMixedTypes="1" containsNumber="1" minValue="-0.23530928837642001" maxValue="0.35795762597005198"/>
    </cacheField>
    <cacheField name="Champ5" numFmtId="164">
      <sharedItems containsBlank="1" containsMixedTypes="1" containsNumber="1" minValue="-0.197800560810103" maxValue="0.14755746177627899"/>
    </cacheField>
    <cacheField name="Champ6" numFmtId="164">
      <sharedItems containsBlank="1" containsMixedTypes="1" containsNumber="1" minValue="-0.183624787089681" maxValue="0.15461168356274399"/>
    </cacheField>
    <cacheField name="Champ7" numFmtId="164">
      <sharedItems containsBlank="1" containsMixedTypes="1" containsNumber="1" minValue="-0.39503344607035801" maxValue="0.24025183667742001"/>
    </cacheField>
    <cacheField name="Champ8" numFmtId="164">
      <sharedItems containsBlank="1" containsMixedTypes="1" containsNumber="1" minValue="-0.11358977363667901" maxValue="0.16236607270455999"/>
    </cacheField>
    <cacheField name="Champ9" numFmtId="164">
      <sharedItems containsBlank="1" containsMixedTypes="1" containsNumber="1" minValue="-0.38589506101342902" maxValue="0.32496960012666698"/>
    </cacheField>
    <cacheField name="Champ10" numFmtId="164">
      <sharedItems containsBlank="1" containsMixedTypes="1" containsNumber="1" minValue="-0.194069347610281" maxValue="0.27822823612945002"/>
    </cacheField>
    <cacheField name="Champ11" numFmtId="164">
      <sharedItems containsBlank="1" containsMixedTypes="1" containsNumber="1" minValue="-0.45781321211925702" maxValue="0.55471950344819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s v="AAPL"/>
    <s v="AMZN"/>
    <s v="AVGO"/>
    <s v="GOOGL"/>
    <s v="MA"/>
    <s v="META"/>
    <s v="MSFT"/>
    <s v="NVDA"/>
    <s v="ORCL"/>
    <s v="TSLA"/>
  </r>
  <r>
    <x v="1"/>
    <n v="-1.0092573002143E-2"/>
    <n v="6.0295629610582699E-2"/>
    <n v="5.7749493160291397E-2"/>
    <n v="3.3944490794758003E-2"/>
    <n v="-9.16313737814934E-3"/>
    <n v="2.20173668642182E-2"/>
    <n v="3.19686950229763E-2"/>
    <n v="0.111615731878021"/>
    <n v="7.30814367907887E-3"/>
    <n v="0.106828992195225"/>
  </r>
  <r>
    <x v="2"/>
    <n v="-0.11251899372612501"/>
    <n v="1.6544097367590702E-2"/>
    <n v="0.106777784815743"/>
    <n v="1.9678014389386E-2"/>
    <n v="-5.7350570282506596E-3"/>
    <n v="4.0208126610127102E-3"/>
    <n v="2.7295510153771699E-2"/>
    <n v="4.21366146434516E-2"/>
    <n v="-6.4657846938183702E-2"/>
    <n v="4.1471475073928003E-2"/>
  </r>
  <r>
    <x v="3"/>
    <n v="-7.8223690275916205E-2"/>
    <n v="-0.141005521080733"/>
    <n v="-7.9018928332655905E-2"/>
    <n v="-2.1646359531955799E-2"/>
    <n v="-8.94419749963411E-2"/>
    <n v="6.9655673594317194E-2"/>
    <n v="-7.0544415104640103E-3"/>
    <n v="-0.118048921273958"/>
    <n v="-6.0407396592500598E-3"/>
    <n v="-0.22736053534171499"/>
  </r>
  <r>
    <x v="4"/>
    <n v="-6.6997052393813596E-3"/>
    <n v="-6.0535187996337399E-2"/>
    <n v="1.9422454104737899E-3"/>
    <n v="-5.9710388129316602E-2"/>
    <n v="-2.1983306859865999E-2"/>
    <n v="-4.8291330997937899E-2"/>
    <n v="-7.9498309208141202E-2"/>
    <n v="6.8287792452770904E-2"/>
    <n v="1.6975604278214901E-2"/>
    <n v="3.81019958256497E-3"/>
  </r>
  <r>
    <x v="5"/>
    <n v="0.125157320354541"/>
    <n v="7.1783443195858401E-2"/>
    <n v="0.142578534915105"/>
    <n v="6.1744198908126102E-2"/>
    <n v="8.3611711833083399E-2"/>
    <n v="6.4994294503500097E-2"/>
    <n v="8.9190947392523104E-2"/>
    <n v="0.13129063114357201"/>
    <n v="0.106419892547938"/>
    <n v="0.179948346883504"/>
  </r>
  <r>
    <x v="6"/>
    <n v="-0.15073116328404501"/>
    <n v="0.105345354839445"/>
    <n v="-5.4995251381042901E-2"/>
    <n v="-7.4852490375127298E-2"/>
    <n v="2.60082743715387E-2"/>
    <n v="3.0043886451143E-2"/>
    <n v="-0.102086944313692"/>
    <n v="-2.8102482282003202E-3"/>
    <n v="-2.6000793462621501E-2"/>
    <n v="4.67219857656304E-2"/>
  </r>
  <r>
    <x v="7"/>
    <n v="6.3244564068530199E-2"/>
    <n v="9.1500293669527499E-2"/>
    <n v="5.7394046550697499E-2"/>
    <n v="5.6264170181797503E-2"/>
    <n v="-9.2859948083126396E-3"/>
    <n v="1.0406931025627401E-2"/>
    <n v="6.0872407383542597E-2"/>
    <n v="0.27379530569676702"/>
    <n v="1.22144916404976E-2"/>
    <n v="-7.5598164277962704E-2"/>
  </r>
  <r>
    <x v="8"/>
    <n v="-3.7526380031870699E-2"/>
    <n v="-9.9694237179575595E-3"/>
    <n v="6.7149815536725098E-3"/>
    <n v="-6.2427948790373701E-2"/>
    <n v="-8.5287840896339395E-2"/>
    <n v="-3.8874471672521602E-2"/>
    <n v="-2.8168704888273902E-2"/>
    <n v="8.7816409579383192E-3"/>
    <n v="1.79961418927433E-2"/>
    <n v="-5.0296472117585402E-2"/>
  </r>
  <r>
    <x v="9"/>
    <n v="8.6234897227325899E-2"/>
    <n v="5.8602116858603899E-2"/>
    <n v="4.4621011910372599E-2"/>
    <n v="0.117617033683731"/>
    <n v="7.8381625578931802E-2"/>
    <n v="8.1145897593295394E-2"/>
    <n v="0.10226821138233"/>
    <n v="0.19444368648295199"/>
    <n v="2.6836990079270001E-3"/>
    <n v="0.100785552605708"/>
  </r>
  <r>
    <x v="10"/>
    <n v="1.7974159050108698E-2"/>
    <n v="1.3547593605149901E-2"/>
    <n v="8.5394146756969394E-2"/>
    <n v="-1.88466514728935E-3"/>
    <n v="1.6644713453474302E-2"/>
    <n v="1.7436713515810501E-2"/>
    <n v="1.3667880092926001E-2"/>
    <n v="7.1627574906515099E-2"/>
    <n v="8.0483252926690594E-3"/>
    <n v="-0.10205826719453"/>
  </r>
  <r>
    <x v="11"/>
    <n v="6.8850676352213105E-2"/>
    <n v="8.4895362007283995E-2"/>
    <n v="-2.2354194790847302E-2"/>
    <n v="1.783101105057E-2"/>
    <n v="5.18261325108006E-2"/>
    <n v="1.69033662562539E-2"/>
    <n v="8.6467277800859905E-3"/>
    <n v="0.112534943603918"/>
    <n v="-4.8208060158298101E-2"/>
    <n v="-3.8366401515215601E-2"/>
  </r>
  <r>
    <x v="12"/>
    <n v="4.3250032953223204E-3"/>
    <n v="-5.8389300891191299E-2"/>
    <n v="-1.00578019810839E-2"/>
    <n v="7.2366444151439101E-3"/>
    <n v="5.0300642595278097E-2"/>
    <n v="2.0983299958293199E-2"/>
    <n v="3.9487697460346097E-2"/>
    <n v="3.7805255393519199E-2"/>
    <n v="-2.2137252386448699E-2"/>
    <n v="-3.1364578122918797E-2"/>
  </r>
  <r>
    <x v="13"/>
    <n v="-2.6958628110036E-2"/>
    <n v="-5.09721535218811E-2"/>
    <n v="1.23271257886633E-3"/>
    <n v="-4.2912701854162301E-2"/>
    <n v="-4.4205245607739301E-2"/>
    <n v="-0.10088266669555999"/>
    <n v="5.65832633613808E-3"/>
    <n v="0.25902936494828399"/>
    <n v="4.8905931370940202E-2"/>
    <n v="-4.3041018989242799E-2"/>
  </r>
  <r>
    <x v="14"/>
    <n v="5.1961834686386703E-2"/>
    <n v="-9.3305970353376204E-4"/>
    <n v="3.6172748362226198E-2"/>
    <n v="2.1131417054669401E-2"/>
    <n v="1.02213947401691E-2"/>
    <n v="-2.8871215548142599E-2"/>
    <n v="3.7454194707695197E-2"/>
    <n v="0.147932198067462"/>
    <n v="-4.4258965747380002E-2"/>
    <n v="0.120664921914877"/>
  </r>
  <r>
    <x v="15"/>
    <n v="4.6641670806724697E-2"/>
    <n v="9.3639404568043094E-2"/>
    <n v="0.126665193961189"/>
    <n v="3.4406628236731199E-2"/>
    <n v="2.9394458296838798E-2"/>
    <n v="0.124625821871002"/>
    <n v="3.9598430503795502E-2"/>
    <n v="2.2601396001423999E-2"/>
    <n v="4.2266979819458102E-2"/>
    <n v="0.16462470602003201"/>
  </r>
  <r>
    <x v="16"/>
    <n v="0.12122879105478999"/>
    <n v="2.58447007737992E-2"/>
    <n v="5.5712575733104397E-2"/>
    <n v="2.97178415319676E-2"/>
    <n v="4.0175317060230503E-2"/>
    <n v="3.9274459839224597E-2"/>
    <n v="-1.04178228864404E-2"/>
    <n v="-7.3136168658772899E-2"/>
    <n v="6.3902440678597794E-2"/>
    <n v="-7.7301556161794597E-3"/>
  </r>
  <r>
    <x v="17"/>
    <n v="5.1867836313254999E-2"/>
    <n v="4.7942282244817502E-2"/>
    <n v="3.7362692017641197E-2"/>
    <n v="3.3910452073572499E-3"/>
    <n v="1.8033154962766799E-2"/>
    <n v="4.6912196653672598E-2"/>
    <n v="3.5004766144585003E-2"/>
    <n v="7.2105117023227805E-2"/>
    <n v="4.6338771256190701E-2"/>
    <n v="0.10727857180736899"/>
  </r>
  <r>
    <x v="18"/>
    <n v="-6.9698616600726406E-5"/>
    <n v="4.2456680883452801E-2"/>
    <n v="1.2937754276961399E-2"/>
    <n v="8.6629828263058595E-2"/>
    <n v="3.3658779714154999E-2"/>
    <n v="5.6121057096083997E-2"/>
    <n v="3.8718804289596301E-2"/>
    <n v="-4.3434268280365097E-2"/>
    <n v="7.8148397388290297E-3"/>
    <n v="0.120916402129779"/>
  </r>
  <r>
    <x v="19"/>
    <n v="6.1488283697519901E-2"/>
    <n v="7.2577828021652593E-2"/>
    <n v="8.1167610352677402E-2"/>
    <n v="6.5486530184590705E-2"/>
    <n v="5.6827932314917798E-2"/>
    <n v="8.0210820579686096E-3"/>
    <n v="1.99570496702552E-2"/>
    <n v="0.32496960012666698"/>
    <n v="1.3818168532902299E-2"/>
    <n v="8.2295911367355604E-2"/>
  </r>
  <r>
    <x v="20"/>
    <n v="-5.4796291195822397E-2"/>
    <n v="-2.7128667388252699E-2"/>
    <n v="-2.7216408682581499E-2"/>
    <n v="-5.9920832642841898E-2"/>
    <n v="-1.1706074932945501E-2"/>
    <n v="-3.1744590376509099E-3"/>
    <n v="-7.4001331419806101E-3"/>
    <n v="2.5064065621858101E-3"/>
    <n v="9.9527058057462606E-2"/>
    <n v="5.8654342365638497E-2"/>
  </r>
  <r>
    <x v="21"/>
    <n v="3.2179969733612299E-2"/>
    <n v="2.02279136114084E-2"/>
    <n v="6.1006997222634897E-2"/>
    <n v="1.6873623071082301E-2"/>
    <n v="5.0964356296012099E-2"/>
    <n v="0.11422980635935299"/>
    <n v="5.32497970100997E-2"/>
    <n v="0.117044738567939"/>
    <n v="-4.1971044776437198E-3"/>
    <n v="-0.11145961622105099"/>
  </r>
  <r>
    <x v="22"/>
    <n v="9.7733788458713E-2"/>
    <n v="-7.2953716708525603E-3"/>
    <n v="2.1695896568269601E-2"/>
    <n v="1.0248641343583101E-2"/>
    <n v="4.3959274573619901E-2"/>
    <n v="1.5943514574686402E-2"/>
    <n v="2.8075428296377401E-2"/>
    <n v="4.1759236752525901E-2"/>
    <n v="1.17439472265445E-2"/>
    <n v="9.5543404493722103E-2"/>
  </r>
  <r>
    <x v="23"/>
    <n v="-5.8215624627558499E-2"/>
    <n v="-1.9826082598787299E-2"/>
    <n v="-3.85404441201984E-2"/>
    <n v="1.9161153882901402E-2"/>
    <n v="5.7574291069560198E-2"/>
    <n v="-6.4172410414883698E-3"/>
    <n v="1.5623748457470801E-3"/>
    <n v="5.4481233842160699E-2"/>
    <n v="-4.0134974561336502E-2"/>
    <n v="-4.2474243580438498E-2"/>
  </r>
  <r>
    <x v="24"/>
    <n v="9.2403826862617E-2"/>
    <n v="0.139515428899914"/>
    <n v="8.8521274191226004E-2"/>
    <n v="5.9137335217938701E-2"/>
    <n v="5.2224849028451897E-2"/>
    <n v="5.2387128904113602E-2"/>
    <n v="0.110341647346547"/>
    <n v="0.145700533197414"/>
    <n v="5.1396876884869797E-2"/>
    <n v="-2.8457386155799399E-2"/>
  </r>
  <r>
    <x v="25"/>
    <n v="1.6486694273470898E-2"/>
    <n v="6.2657704762992497E-2"/>
    <n v="5.1797214980176497E-2"/>
    <n v="3.02535047413616E-3"/>
    <n v="1.29114462282304E-2"/>
    <n v="-1.6124221048304601E-2"/>
    <n v="1.1831582141672899E-2"/>
    <n v="-2.9939605430337399E-2"/>
    <n v="-3.2882087971477597E-2"/>
    <n v="-7.0862581126892393E-2"/>
  </r>
  <r>
    <x v="26"/>
    <n v="-1.17749127442462E-2"/>
    <n v="-6.2057465740648103E-3"/>
    <n v="-7.8718189960700097E-2"/>
    <n v="1.64916356162392E-2"/>
    <n v="5.8978376324069597E-3"/>
    <n v="-4.0714386462942301E-3"/>
    <n v="2.1155070027565399E-2"/>
    <n v="-3.5888524196502299E-2"/>
    <n v="-3.6957176178002801E-2"/>
    <n v="8.0621197675147405E-3"/>
  </r>
  <r>
    <x v="27"/>
    <n v="-1.06932833590306E-2"/>
    <n v="0.21562650651693999"/>
    <n v="-2.85303654236959E-2"/>
    <n v="0.115371184669626"/>
    <n v="0.110237237298511"/>
    <n v="5.7425450725866703E-2"/>
    <n v="0.104998069774963"/>
    <n v="0.23924035361033699"/>
    <n v="8.7240783381036302E-2"/>
    <n v="0.12925453535140399"/>
  </r>
  <r>
    <x v="28"/>
    <n v="6.1892423223562101E-2"/>
    <n v="4.15536912832076E-2"/>
    <n v="-6.3496972956528603E-3"/>
    <n v="-6.8526491865198894E-2"/>
    <n v="4.0793754989783902E-2"/>
    <n v="-4.6940573205648699E-2"/>
    <n v="-1.3137015989482199E-2"/>
    <n v="-1.5580357151573E-2"/>
    <n v="-1.4106996388005701E-2"/>
    <n v="-3.2266872532058802E-2"/>
  </r>
  <r>
    <x v="29"/>
    <n v="-5.57351704187595E-2"/>
    <n v="-4.4003463575544098E-2"/>
    <n v="-4.4852101328651001E-2"/>
    <n v="-6.2400583450782698E-2"/>
    <n v="-3.41957976768846E-3"/>
    <n v="-0.109718837821455"/>
    <n v="-2.23365079032448E-2"/>
    <n v="-4.3347805907272802E-2"/>
    <n v="-0.10214284108492599"/>
    <n v="-0.25392059352816299"/>
  </r>
  <r>
    <x v="30"/>
    <n v="-1.51340139714177E-2"/>
    <n v="7.8880219222014297E-2"/>
    <n v="-1.2246623577314699E-2"/>
    <n v="-1.8057357510750799E-2"/>
    <n v="1.7599604945117999E-2"/>
    <n v="7.3634071180976701E-2"/>
    <n v="2.43528975275135E-2"/>
    <n v="-2.9312709010464399E-2"/>
    <n v="-1.7497877423867901E-3"/>
    <n v="9.9254492098358904E-2"/>
  </r>
  <r>
    <x v="31"/>
    <n v="0.122893326942728"/>
    <n v="3.9739250633896897E-2"/>
    <n v="9.41522964156635E-2"/>
    <n v="7.6900592525035699E-2"/>
    <n v="6.5779381421138997E-2"/>
    <n v="0.108854336708207"/>
    <n v="5.53274857194372E-2"/>
    <n v="0.114526744818526"/>
    <n v="2.6862789016205701E-2"/>
    <n v="-3.1698040488453698E-2"/>
  </r>
  <r>
    <x v="32"/>
    <n v="-5.6140715921043499E-3"/>
    <n v="4.2163738276824597E-2"/>
    <n v="-3.8127738263435601E-2"/>
    <n v="2.61905120863564E-2"/>
    <n v="3.3108880226847701E-2"/>
    <n v="1.31572067393912E-2"/>
    <n v="1.9951972329537299E-3"/>
    <n v="-6.1926193002175799E-2"/>
    <n v="-5.8620181221281403E-2"/>
    <n v="0.186043155340962"/>
  </r>
  <r>
    <x v="33"/>
    <n v="2.7598933955241999E-2"/>
    <n v="4.4663529768886497E-2"/>
    <n v="-7.6617264156724096E-2"/>
    <n v="8.3250620564016095E-2"/>
    <n v="7.5022159461772802E-3"/>
    <n v="-0.118645394214362"/>
    <n v="7.3020812246652703E-2"/>
    <n v="3.3048295123564699E-2"/>
    <n v="7.8959778701396102E-2"/>
    <n v="-0.140021343309188"/>
  </r>
  <r>
    <x v="34"/>
    <n v="0.17917229167823501"/>
    <n v="0.124307945841537"/>
    <n v="-1.24323714669316E-2"/>
    <n v="3.7253702341891099E-3"/>
    <n v="8.6230705660022999E-2"/>
    <n v="1.8087829657419799E-2"/>
    <n v="5.7247990969831797E-2"/>
    <n v="0.13652859675020601"/>
    <n v="2.2614346028435098E-2"/>
    <n v="1.17375462473275E-2"/>
  </r>
  <r>
    <x v="35"/>
    <n v="-4.8364483323923404E-3"/>
    <n v="-4.8360160091312897E-3"/>
    <n v="0.119086381589299"/>
    <n v="-2.0272397229486799E-2"/>
    <n v="3.21817490584521E-2"/>
    <n v="-6.6281049555221003E-2"/>
    <n v="2.1837858878802598E-2"/>
    <n v="1.7576027510472899E-3"/>
    <n v="5.9534378852926603E-2"/>
    <n v="-0.13043938533942501"/>
  </r>
  <r>
    <x v="36"/>
    <n v="-3.09517645170004E-2"/>
    <n v="-0.225886951536901"/>
    <n v="-9.1448172803661201E-2"/>
    <n v="-0.10149455166714801"/>
    <n v="-0.118822181792262"/>
    <n v="-8.0169562026350602E-2"/>
    <n v="-6.83869269814147E-2"/>
    <n v="-0.28737371179608001"/>
    <n v="-5.4196773385076003E-2"/>
    <n v="0.24217069895625401"/>
  </r>
  <r>
    <x v="37"/>
    <n v="-0.20339584506422201"/>
    <n v="5.6070010445170397E-2"/>
    <n v="6.0421742587442699E-2"/>
    <n v="1.73348264307128E-2"/>
    <n v="1.82114464764596E-2"/>
    <n v="-7.6507875900474101E-2"/>
    <n v="3.7486950917847303E-2"/>
    <n v="-0.25466744291769799"/>
    <n v="2.3792103468087901E-3"/>
    <n v="3.8271466137699203E-2"/>
  </r>
  <r>
    <x v="38"/>
    <n v="-0.120604964984684"/>
    <n v="-0.11805153581831999"/>
    <n v="6.8647609800091006E-2"/>
    <n v="-6.0065966533792703E-2"/>
    <n v="-6.3759855904096802E-2"/>
    <n v="-7.0106204207381395E-2"/>
    <n v="-8.3479470469348893E-2"/>
    <n v="-0.201283322001648"/>
    <n v="-7.6920209064053696E-2"/>
    <n v="-5.1761641656713202E-2"/>
  </r>
  <r>
    <x v="39"/>
    <n v="5.3686691526799502E-2"/>
    <n v="0.134808066227774"/>
    <n v="6.3966002106507505E-2"/>
    <n v="7.4595188259400896E-2"/>
    <n v="0.11258090641320501"/>
    <n v="0.24025183667742001"/>
    <n v="2.7768691355375501E-2"/>
    <n v="7.3974446687684506E-2"/>
    <n v="0.10662219653951401"/>
    <n v="-8.0628967142371402E-2"/>
  </r>
  <r>
    <x v="40"/>
    <n v="3.9523241907047799E-2"/>
    <n v="-4.6993068074800602E-2"/>
    <n v="2.61598277030974E-2"/>
    <n v="5.8596047918637098E-4"/>
    <n v="6.4330684974531704E-2"/>
    <n v="-3.1940335015758402E-2"/>
    <n v="7.0249855924021998E-2"/>
    <n v="7.0563688072468905E-2"/>
    <n v="4.1079598993222603E-2"/>
    <n v="4.1032877110005903E-2"/>
  </r>
  <r>
    <x v="41"/>
    <n v="9.6882216086837697E-2"/>
    <n v="8.2442045949721807E-2"/>
    <n v="8.8066864128059197E-2"/>
    <n v="4.3715694139592302E-2"/>
    <n v="4.64210368485444E-2"/>
    <n v="3.1940335015758298E-2"/>
    <n v="5.5671142654978301E-2"/>
    <n v="0.15290006570534501"/>
    <n v="2.9858755922704299E-2"/>
    <n v="-0.133656469688269"/>
  </r>
  <r>
    <x v="42"/>
    <n v="5.4900730871336602E-2"/>
    <n v="7.8680642674754303E-2"/>
    <n v="6.60556280080494E-2"/>
    <n v="1.8578958540515399E-2"/>
    <n v="7.6780233631683306E-2"/>
    <n v="0.14862452620036601"/>
    <n v="0.101962840417027"/>
    <n v="7.9875579936051402E-3"/>
    <n v="2.9715741008111599E-2"/>
    <n v="-0.15912345111314399"/>
  </r>
  <r>
    <x v="43"/>
    <n v="-0.13647557690053899"/>
    <n v="-8.1875407781586002E-2"/>
    <n v="-0.23530928837642001"/>
    <n v="-8.0252583923120693E-2"/>
    <n v="-9.4800585005463799E-3"/>
    <n v="-8.5958470994510705E-2"/>
    <n v="-5.4441662254266901E-2"/>
    <n v="-0.28982086330677698"/>
    <n v="-8.4895256714480602E-2"/>
    <n v="-0.25394553219057803"/>
  </r>
  <r>
    <x v="44"/>
    <n v="0.12652041618976201"/>
    <n v="6.4655763161683102E-2"/>
    <n v="0.13447490069401399"/>
    <n v="-2.1651548116706401E-2"/>
    <n v="5.0551353041731001E-2"/>
    <n v="8.38883329621503E-2"/>
    <n v="8.3539112692113907E-2"/>
    <n v="0.19373274887098799"/>
    <n v="0.118573181053494"/>
    <n v="0.188011887202405"/>
  </r>
  <r>
    <x v="45"/>
    <n v="7.3617040929151903E-2"/>
    <n v="-1.4280600415507E-2"/>
    <n v="1.6914122452677999E-2"/>
    <n v="0.117823971138154"/>
    <n v="2.88394314838743E-2"/>
    <n v="6.35250412623553E-3"/>
    <n v="1.7096281231259398E-2"/>
    <n v="2.69721179425251E-2"/>
    <n v="-1.1830220270149299E-2"/>
    <n v="7.8092445621991094E-2"/>
  </r>
  <r>
    <x v="46"/>
    <n v="-2.0390494006762901E-2"/>
    <n v="-4.9688101987485397E-2"/>
    <n v="-2.5672573916940999E-2"/>
    <n v="-2.29757207840331E-2"/>
    <n v="3.4089746084157102E-2"/>
    <n v="-4.5071845470198997E-2"/>
    <n v="1.16007070370034E-2"/>
    <n v="-7.1974420615403996E-3"/>
    <n v="-7.4257907761598102E-2"/>
    <n v="-6.8516582483448704E-2"/>
  </r>
  <r>
    <x v="47"/>
    <n v="7.4215011573286901E-2"/>
    <n v="-2.2995147951910301E-2"/>
    <n v="-2.3519757440959198E-2"/>
    <n v="2.5386324507895901E-2"/>
    <n v="-3.54504748154389E-2"/>
    <n v="-4.1738039076140002E-2"/>
    <n v="1.17757507079613E-2"/>
    <n v="3.9403995975320898E-2"/>
    <n v="5.54817697920158E-2"/>
    <n v="6.5449302360684997E-2"/>
  </r>
  <r>
    <x v="48"/>
    <n v="0.10497657270293"/>
    <n v="2.32034255811128E-2"/>
    <n v="6.8165658535259605E-2"/>
    <n v="3.03740091854258E-2"/>
    <n v="1.91112169107246E-2"/>
    <n v="7.3438133633552102E-2"/>
    <n v="3.0738505376627898E-2"/>
    <n v="0.143947183799705"/>
    <n v="-9.8613600117231307E-3"/>
    <n v="0.26806142822203299"/>
  </r>
  <r>
    <x v="49"/>
    <n v="7.1695903692009594E-2"/>
    <n v="1.34958134529978E-2"/>
    <n v="7.6746422298928696E-2"/>
    <n v="3.53464620797855E-2"/>
    <n v="5.5422913571593201E-2"/>
    <n v="5.0813170662581501E-2"/>
    <n v="5.4364954039391102E-2"/>
    <n v="7.5293758625276305E-2"/>
    <n v="3.4281564708094903E-2"/>
    <n v="4.6592022661043203E-2"/>
  </r>
  <r>
    <x v="50"/>
    <n v="9.7201509256680099E-2"/>
    <n v="2.5786378774254701E-2"/>
    <n v="-6.0130843854899697E-4"/>
    <n v="2.6708810331697801E-2"/>
    <n v="2.15302716215796E-2"/>
    <n v="1.7744415209189499E-2"/>
    <n v="4.4297606407669297E-2"/>
    <n v="8.2900429972445899E-2"/>
    <n v="-5.79343521378754E-2"/>
    <n v="0.237359894513618"/>
  </r>
  <r>
    <x v="51"/>
    <n v="5.2601822107934598E-2"/>
    <n v="8.3480313912563095E-2"/>
    <n v="-2.4890776951886101E-2"/>
    <n v="6.7402410879819297E-2"/>
    <n v="5.6480985793271703E-2"/>
    <n v="-1.6406518967088401E-2"/>
    <n v="7.6456193378193593E-2"/>
    <n v="4.7908962919687003E-3"/>
    <n v="-1.00539800252864E-2"/>
    <n v="0.44157811057711999"/>
  </r>
  <r>
    <x v="52"/>
    <n v="-0.124200592733943"/>
    <n v="-6.4233232338635302E-2"/>
    <n v="-0.112757471396268"/>
    <n v="-6.7506910710271303E-2"/>
    <n v="-8.3476206652453006E-2"/>
    <n v="-4.78819587579579E-2"/>
    <n v="-4.9492121750487797E-2"/>
    <n v="0.13302906096159101"/>
    <n v="-5.4254705569968302E-2"/>
    <n v="2.6424453377614E-2"/>
  </r>
  <r>
    <x v="53"/>
    <n v="-6.9943878651627794E-2"/>
    <n v="3.4421301563503398E-2"/>
    <n v="-0.13959690403007"/>
    <n v="-0.142010038041785"/>
    <n v="-0.183624787089681"/>
    <n v="-0.143144716614066"/>
    <n v="-2.41728869711537E-2"/>
    <n v="-2.3650386369060999E-2"/>
    <n v="-2.31117701931342E-2"/>
    <n v="-0.24278168931494001"/>
  </r>
  <r>
    <x v="54"/>
    <n v="0.144423703193757"/>
    <n v="0.238150501448225"/>
    <n v="0.152777225756833"/>
    <n v="0.14755746177627899"/>
    <n v="0.129543706899825"/>
    <n v="0.204799238365166"/>
    <n v="0.12780031963906499"/>
    <n v="0.103279550235126"/>
    <n v="9.1673331734743499E-2"/>
    <n v="0.40020962323519699"/>
  </r>
  <r>
    <x v="55"/>
    <n v="7.8963612445737297E-2"/>
    <n v="-1.2867394607529401E-2"/>
    <n v="6.9846446587114905E-2"/>
    <n v="6.24760209934953E-2"/>
    <n v="9.1628077678683501E-2"/>
    <n v="9.4905811006968599E-2"/>
    <n v="2.22937262588861E-2"/>
    <n v="0.19446164670489799"/>
    <n v="1.9729270262266299E-2"/>
    <n v="6.5730572594706105E-2"/>
  </r>
  <r>
    <x v="56"/>
    <n v="0.14019009787133699"/>
    <n v="0.121834172714735"/>
    <n v="8.0256827264784794E-2"/>
    <n v="-1.08505289000896E-2"/>
    <n v="-1.7399265147601501E-2"/>
    <n v="8.75815613492569E-3"/>
    <n v="0.10764459300423999"/>
    <n v="6.7760169275131898E-2"/>
    <n v="2.75145767331758E-2"/>
    <n v="0.25710868659334601"/>
  </r>
  <r>
    <x v="57"/>
    <n v="0.15283328484268399"/>
    <n v="0.137248892561915"/>
    <n v="1.3855038414940001E-2"/>
    <n v="4.8116789349666803E-2"/>
    <n v="4.2473684163896998E-2"/>
    <n v="0.110775756355993"/>
    <n v="7.3432588116892896E-3"/>
    <n v="0.111645934384239"/>
    <n v="3.25119081665511E-3"/>
    <n v="0.28142057928160202"/>
  </r>
  <r>
    <x v="58"/>
    <n v="0.19423417677218699"/>
    <n v="8.6600508566040804E-2"/>
    <n v="9.1644371395194199E-2"/>
    <n v="9.0892295057873204E-2"/>
    <n v="0.15057913752024199"/>
    <n v="0.144820742064946"/>
    <n v="9.5394690130199605E-2"/>
    <n v="0.23110550934125201"/>
    <n v="3.56406982836657E-2"/>
    <n v="0.55471950344819498"/>
  </r>
  <r>
    <x v="59"/>
    <n v="-0.106370565490244"/>
    <n v="-9.1653256267823405E-2"/>
    <n v="4.8275553507772899E-2"/>
    <n v="-0.10602697814315901"/>
    <n v="-5.7515002510393903E-2"/>
    <n v="-0.11289210790981"/>
    <n v="-6.7360689508122795E-2"/>
    <n v="1.15965812111568E-2"/>
    <n v="4.2428522692901503E-2"/>
    <n v="-0.14976264603531"/>
  </r>
  <r>
    <x v="60"/>
    <n v="-6.188745387492E-2"/>
    <n v="-3.6408931510118002E-2"/>
    <n v="-3.2081465850851101E-2"/>
    <n v="9.7757422471977606E-2"/>
    <n v="-0.15836842750215299"/>
    <n v="4.6091129526474404E-3"/>
    <n v="-3.8086154811212601E-2"/>
    <n v="-7.6202872552745896E-2"/>
    <n v="-6.2018299215212798E-2"/>
    <n v="-0.100371310786385"/>
  </r>
  <r>
    <x v="61"/>
    <n v="8.9480935871332198E-2"/>
    <n v="4.2522834707578297E-2"/>
    <n v="0.13853124811317899"/>
    <n v="8.2104808530992598E-2"/>
    <n v="0.15461168356274399"/>
    <n v="5.1337079631452398E-2"/>
    <n v="5.5710967336991601E-2"/>
    <n v="6.6922469687881E-2"/>
    <n v="3.2331157417114398E-2"/>
    <n v="0.38030826048744698"/>
  </r>
  <r>
    <x v="62"/>
    <n v="0.110195353205386"/>
    <n v="2.7671933757331998E-2"/>
    <n v="8.6469641104843703E-2"/>
    <n v="-1.00349774095532E-3"/>
    <n v="5.8939717402266299E-2"/>
    <n v="-1.3851286473141799E-2"/>
    <n v="4.0879423675771E-2"/>
    <n v="-2.61957753466956E-2"/>
    <n v="0.11400258924071199"/>
    <n v="0.217730619125968"/>
  </r>
  <r>
    <x v="63"/>
    <n v="-5.5166637953627503E-3"/>
    <n v="-1.5698598618990901E-2"/>
    <n v="3.6966629641604999E-2"/>
    <n v="4.1748863215721903E-2"/>
    <n v="-0.120908384248783"/>
    <n v="-5.58197133511475E-2"/>
    <n v="4.1997263060384198E-2"/>
    <n v="-4.7155749199687203E-3"/>
    <n v="-6.8120852039201096E-2"/>
    <n v="0.117343782023299"/>
  </r>
  <r>
    <x v="64"/>
    <n v="-8.4561528241633904E-2"/>
    <n v="-3.5967573575716401E-2"/>
    <n v="4.2097648104560598E-2"/>
    <n v="0.10117022946559"/>
    <n v="0.11348062161920799"/>
    <n v="-2.7524014092933798E-3"/>
    <n v="1.8091945866774599E-3"/>
    <n v="5.42932580973658E-2"/>
    <n v="6.9153807139363893E-2"/>
    <n v="-0.16103804099642199"/>
  </r>
  <r>
    <x v="65"/>
    <n v="8.8054105487271293E-3"/>
    <n v="3.7174661532602998E-4"/>
    <n v="-1.33044136285232E-2"/>
    <n v="1.98860132502644E-2"/>
    <n v="6.1978113625538699E-3"/>
    <n v="0.13389503692622301"/>
    <n v="1.6783527558111199E-2"/>
    <n v="-2.7068136054658E-2"/>
    <n v="8.4100588802992302E-2"/>
    <n v="-1.1270077528446901E-2"/>
  </r>
  <r>
    <x v="66"/>
    <n v="7.34529774602663E-2"/>
    <n v="0.113920193250583"/>
    <n v="-8.43392273993635E-3"/>
    <n v="0.13197469319383701"/>
    <n v="7.0506760632270293E-2"/>
    <n v="9.8690382758579304E-2"/>
    <n v="6.7286131566296495E-2"/>
    <n v="0.117643130754759"/>
    <n v="7.7045781460902393E-2"/>
    <n v="6.0292698517660899E-2"/>
  </r>
  <r>
    <x v="67"/>
    <n v="-5.35138780464057E-2"/>
    <n v="-7.3076480070740399E-2"/>
    <n v="3.47466411078916E-2"/>
    <n v="1.4228049609312601E-3"/>
    <n v="-5.6677503556045297E-2"/>
    <n v="1.1165634963294599E-2"/>
    <n v="-9.9631258055516599E-3"/>
    <n v="7.9071026935706196E-2"/>
    <n v="4.2502194609303601E-2"/>
    <n v="-0.12637217868532399"/>
  </r>
  <r>
    <x v="68"/>
    <n v="9.6197264707480801E-2"/>
    <n v="6.5183660438693794E-2"/>
    <n v="9.5029545407167397E-3"/>
    <n v="3.5405322527576999E-2"/>
    <n v="1.24298878662458E-2"/>
    <n v="5.6132021483949801E-2"/>
    <n v="8.3875860560516699E-2"/>
    <n v="0.20810268205799501"/>
    <n v="-1.1496127323293699E-2"/>
    <n v="8.3547923733689994E-2"/>
  </r>
  <r>
    <x v="69"/>
    <n v="6.2958103352188002E-2"/>
    <n v="-3.3269663677392099E-2"/>
    <n v="2.55897154784854E-2"/>
    <n v="9.8492131939855204E-2"/>
    <n v="5.5538042894364002E-2"/>
    <n v="2.4404077199958799E-2"/>
    <n v="5.0423954815644399E-2"/>
    <n v="-2.5264868166827398E-2"/>
    <n v="0.112860550201899"/>
    <n v="1.09738447117665E-2"/>
  </r>
  <r>
    <x v="70"/>
    <n v="4.0114686269190999E-2"/>
    <n v="4.2133915498725999E-2"/>
    <n v="2.40390141050662E-2"/>
    <n v="7.1398580298323702E-2"/>
    <n v="-0.107400895960525"/>
    <n v="6.2765306857205105E-2"/>
    <n v="5.7856251778716401E-2"/>
    <n v="0.13802790779042101"/>
    <n v="2.6262040632314701E-2"/>
    <n v="6.8224095374517596E-2"/>
  </r>
  <r>
    <x v="71"/>
    <n v="-6.8965054179666002E-2"/>
    <n v="-5.5003405330353701E-2"/>
    <n v="-2.5007806701301202E-2"/>
    <n v="-7.9226386894090006E-2"/>
    <n v="4.17908674946702E-3"/>
    <n v="-0.111388223863021"/>
    <n v="-6.6493567831703501E-2"/>
    <n v="-7.7308267391856103E-2"/>
    <n v="-2.2694728325321101E-2"/>
    <n v="5.2632451956010698E-2"/>
  </r>
  <r>
    <x v="72"/>
    <n v="5.7001470138717002E-2"/>
    <n v="2.62547243461595E-2"/>
    <n v="9.9320429971675506E-2"/>
    <n v="0.10210432347288401"/>
    <n v="-3.5601216467986301E-2"/>
    <n v="-4.7734188256524902E-2"/>
    <n v="0.16236607270455999"/>
    <n v="0.21039577698307099"/>
    <n v="9.6321806436104399E-2"/>
    <n v="0.36223026720201101"/>
  </r>
  <r>
    <x v="73"/>
    <n v="9.8460955607378095E-2"/>
    <n v="3.9147378269960099E-2"/>
    <n v="4.0563924813394998E-2"/>
    <n v="-4.2418188091024801E-2"/>
    <n v="-6.2100155196028302E-2"/>
    <n v="2.7463314136459199E-3"/>
    <n v="-3.1106350284684E-3"/>
    <n v="0.24533870252736201"/>
    <n v="-5.2251911469623401E-2"/>
    <n v="2.7238043664758099E-2"/>
  </r>
  <r>
    <x v="74"/>
    <n v="7.3061758985275602E-2"/>
    <n v="-5.0506172305566401E-2"/>
    <n v="0.18381658583107499"/>
    <n v="2.06078322498701E-2"/>
    <n v="0.13189484961998299"/>
    <n v="3.5990175831318499E-2"/>
    <n v="1.9012102531187399E-2"/>
    <n v="-0.105272102643271"/>
    <n v="-3.9679423272616303E-2"/>
    <n v="-7.9968546413117403E-2"/>
  </r>
  <r>
    <x v="75"/>
    <n v="-1.5837294933547501E-2"/>
    <n v="-0.10850985334929"/>
    <n v="-0.120911900825606"/>
    <n v="-6.8192164233039504E-2"/>
    <n v="7.2608056606908E-2"/>
    <n v="-7.1118675641461002E-2"/>
    <n v="-7.8334669673591997E-2"/>
    <n v="-0.183144866861673"/>
    <n v="-7.1896429224056702E-2"/>
    <n v="-0.12059741643179001"/>
  </r>
  <r>
    <x v="76"/>
    <n v="-5.6855613677537602E-2"/>
    <n v="2.6322995467381701E-2"/>
    <n v="2.65925926523671E-3"/>
    <n v="-1.8234057890591799E-3"/>
    <n v="-6.7130806204904803E-2"/>
    <n v="-0.39503344607035801"/>
    <n v="-3.9987577775616102E-2"/>
    <n v="-4.1333224621533703E-3"/>
    <n v="-6.2376295699695897E-2"/>
    <n v="-7.3397184006749397E-2"/>
  </r>
  <r>
    <x v="77"/>
    <n v="5.7156114524264397E-2"/>
    <n v="5.9623956986477003E-2"/>
    <n v="6.9437527484066203E-2"/>
    <n v="2.9262303250881701E-2"/>
    <n v="-9.5796486753798298E-3"/>
    <n v="5.2297476849600698E-2"/>
    <n v="3.3430312534926197E-2"/>
    <n v="0.112405468435102"/>
    <n v="8.5244004014917496E-2"/>
    <n v="0.213504397562434"/>
  </r>
  <r>
    <x v="78"/>
    <n v="-0.102178032129795"/>
    <n v="-0.27118570929338198"/>
    <n v="-0.120604058279734"/>
    <n v="-0.197800560810103"/>
    <n v="1.6649495676854802E-2"/>
    <n v="-0.103633181138389"/>
    <n v="-0.10521257226363701"/>
    <n v="-0.38589506101342902"/>
    <n v="-0.11965823131332"/>
    <n v="-0.21312534640563199"/>
  </r>
  <r>
    <x v="79"/>
    <n v="-5.7505126562052998E-2"/>
    <n v="-3.3313100052673697E-2"/>
    <n v="4.5384062012898699E-2"/>
    <n v="-3.0497918789332301E-3"/>
    <n v="-1.3892153854590099E-2"/>
    <n v="-3.46635748796493E-2"/>
    <n v="-2.0568986921288699E-2"/>
    <n v="6.71720941177843E-3"/>
    <n v="-1.6465328514610501E-2"/>
    <n v="-0.138340075827244"/>
  </r>
  <r>
    <x v="80"/>
    <n v="-8.3468444785490495E-2"/>
    <n v="-0.123817787586326"/>
    <n v="-0.17743479482594199"/>
    <n v="-4.31008204993341E-2"/>
    <n v="-0.126074882958497"/>
    <n v="-0.18304510971973301"/>
    <n v="-5.4583395275360401E-2"/>
    <n v="-0.208431188443918"/>
    <n v="-2.8917889233590802E-2"/>
    <n v="-0.118657145043391"/>
  </r>
  <r>
    <x v="81"/>
    <n v="0.17280443117840499"/>
    <n v="0.239486073130565"/>
    <n v="0.10560215586070699"/>
    <n v="6.5336601353735493E-2"/>
    <n v="0.114608663623096"/>
    <n v="-1.3422851689388501E-2"/>
    <n v="8.9014844876514496E-2"/>
    <n v="0.18100392958390099"/>
    <n v="0.10801874932826599"/>
    <n v="0.28048029266089097"/>
  </r>
  <r>
    <x v="82"/>
    <n v="-3.3093631986848497E-2"/>
    <n v="-6.2529918513378302E-2"/>
    <n v="-7.0336943095026097E-2"/>
    <n v="-7.2178687191277305E-2"/>
    <n v="-8.5287674235194594E-2"/>
    <n v="2.3787517090643199E-2"/>
    <n v="-7.11096233449829E-2"/>
    <n v="-0.185089416512386"/>
    <n v="-4.4102667888266597E-2"/>
    <n v="-7.5250238861184801E-2"/>
  </r>
  <r>
    <x v="83"/>
    <n v="-0.12755585168144701"/>
    <n v="-0.114986602238295"/>
    <n v="-0.116979265867102"/>
    <n v="-0.123470429871368"/>
    <n v="-0.13171390676681999"/>
    <n v="-0.183021232195612"/>
    <n v="-0.11358977363667901"/>
    <n v="-0.217874111487982"/>
    <n v="-0.194069347610281"/>
    <n v="-3.8314045457392303E-2"/>
  </r>
  <r>
    <x v="84"/>
    <n v="0.103954922401856"/>
    <n v="-9.8110557381016206E-2"/>
    <n v="6.5490892291273195E-2"/>
    <n v="-1.19899280995302E-2"/>
    <n v="0.14339138286779499"/>
    <n v="-0.375980689009558"/>
    <n v="-3.3120129644825698E-3"/>
    <n v="0.106340990759617"/>
    <n v="0.24558507176347399"/>
    <n v="-0.153346730382522"/>
  </r>
  <r>
    <x v="85"/>
    <n v="-3.5242178309030099E-2"/>
    <n v="-5.93198310989776E-2"/>
    <n v="0.158801198068732"/>
    <n v="6.6315418215635899E-2"/>
    <n v="8.4103702779913206E-2"/>
    <n v="0.23721314485123601"/>
    <n v="9.4514905409019898E-2"/>
    <n v="0.226206329956011"/>
    <n v="6.6723472675251902E-2"/>
    <n v="-0.15586613473341701"/>
  </r>
  <r>
    <x v="86"/>
    <n v="-0.12876210972506599"/>
    <n v="-0.13914063138903299"/>
    <n v="1.4592705926184399E-2"/>
    <n v="-0.13507409946561799"/>
    <n v="-2.4627335741839299E-2"/>
    <n v="1.8789551472721801E-2"/>
    <n v="-5.9109584498144997E-2"/>
    <n v="-0.146437553609604"/>
    <n v="-1.5658492124200799E-2"/>
    <n v="-0.45781321211925702"/>
  </r>
  <r>
    <x v="87"/>
    <n v="0.104829400499102"/>
    <n v="0.205173529484664"/>
    <n v="5.3556273671407001E-2"/>
    <n v="0.113555203746088"/>
    <n v="6.3696822543363896E-2"/>
    <n v="0.21342326907138701"/>
    <n v="3.2773546457340298E-2"/>
    <n v="0.29033006818835599"/>
    <n v="7.9006922596324705E-2"/>
    <n v="0.34091576264400097"/>
  </r>
  <r>
    <x v="88"/>
    <n v="2.1393283574072702E-2"/>
    <n v="-9.0251726109312605E-2"/>
    <n v="1.5738470108691199E-2"/>
    <n v="-9.3026072209416999E-2"/>
    <n v="-4.0567226968867401E-2"/>
    <n v="0.160698280191446"/>
    <n v="6.4761117897062697E-3"/>
    <n v="0.172531347112901"/>
    <n v="-8.3125520289116604E-3"/>
    <n v="0.17190494706148399"/>
  </r>
  <r>
    <x v="89"/>
    <n v="0.113646810264009"/>
    <n v="9.1801963799877304E-2"/>
    <n v="7.6504017123988605E-2"/>
    <n v="0.14131550998275"/>
    <n v="2.25971829312679E-2"/>
    <n v="0.191860195801521"/>
    <n v="0.14736474026643301"/>
    <n v="0.17936694500337"/>
    <n v="6.12437634537083E-2"/>
    <n v="8.4711400392992794E-3"/>
  </r>
  <r>
    <x v="90"/>
    <n v="2.8574955117446101E-2"/>
    <n v="2.0696340906241398E-2"/>
    <n v="-1.6550935615806901E-2"/>
    <n v="3.4209310116949297E-2"/>
    <n v="4.4718852210020699E-2"/>
    <n v="0.12566853006121001"/>
    <n v="6.36930480822053E-2"/>
    <n v="-8.3888705846998197E-4"/>
    <n v="1.9186195661353399E-2"/>
    <n v="-0.23318366253994199"/>
  </r>
  <r>
    <x v="91"/>
    <n v="4.3646740654785701E-2"/>
    <n v="0.134076526136476"/>
    <n v="0.25436365139247002"/>
    <n v="0.13512620371174799"/>
    <n v="-3.8730776145965803E-2"/>
    <n v="9.6701274793306605E-2"/>
    <n v="6.6507591530747201E-2"/>
    <n v="0.31000846850630498"/>
    <n v="0.116126844760475"/>
    <n v="0.21602191024051601"/>
  </r>
  <r>
    <x v="92"/>
    <n v="9.15250265462101E-2"/>
    <n v="7.7986420908101303E-2"/>
    <n v="7.1022334495610295E-2"/>
    <n v="-2.6138382374356801E-2"/>
    <n v="7.4620678435673493E-2"/>
    <n v="8.0739806170775294E-2"/>
    <n v="3.8514280197810002E-2"/>
    <n v="0.11162599260197199"/>
    <n v="0.117005964120276"/>
    <n v="0.24968945791439801"/>
  </r>
  <r>
    <x v="93"/>
    <n v="1.2704269890204199E-2"/>
    <n v="2.5149030317777401E-2"/>
    <n v="4.0672273970770702E-2"/>
    <n v="0.10325289755759499"/>
    <n v="2.48864203057571E-3"/>
    <n v="0.104523974218394"/>
    <n v="-1.36595722846617E-2"/>
    <n v="9.9634252317349001E-2"/>
    <n v="-1.5741179533297098E-2"/>
    <n v="2.1391594229644099E-2"/>
  </r>
  <r>
    <x v="94"/>
    <n v="-4.4657623149384401E-2"/>
    <n v="3.1877262012810201E-2"/>
    <n v="2.6616364073018602E-2"/>
    <n v="2.5662693421771601E-2"/>
    <n v="4.6959346024440303E-2"/>
    <n v="-7.3948768964133396E-2"/>
    <n v="-2.4591492348636002E-2"/>
    <n v="5.4674179307856598E-2"/>
    <n v="3.0102138591932E-2"/>
    <n v="-3.5588235471399499E-2"/>
  </r>
  <r>
    <x v="95"/>
    <n v="-9.1509863423703194E-2"/>
    <n v="-8.2194624071488004E-2"/>
    <n v="-0.105385824298657"/>
    <n v="-3.9776601884586003E-2"/>
    <n v="-4.1388584008433198E-2"/>
    <n v="1.4494695303634401E-2"/>
    <n v="-3.52158796266933E-2"/>
    <n v="-0.12630114911429199"/>
    <n v="-0.128052387919421"/>
    <n v="-3.0929083487644699E-2"/>
  </r>
  <r>
    <x v="96"/>
    <n v="-2.5730615333689299E-3"/>
    <n v="4.5894068870004301E-2"/>
    <n v="1.8338872400862901E-2"/>
    <n v="-5.3201071807852697E-2"/>
    <n v="-5.0667569234192203E-2"/>
    <n v="3.5242899079187999E-3"/>
    <n v="6.8420410730397105E-2"/>
    <n v="-6.4463866729323999E-2"/>
    <n v="-2.4079619144151201E-2"/>
    <n v="-0.21983195972274899"/>
  </r>
  <r>
    <x v="97"/>
    <n v="0.10644292946628001"/>
    <n v="9.3197279045957995E-2"/>
    <n v="9.5551185136698594E-2"/>
    <n v="6.5882358232858707E-2"/>
    <n v="9.6384505247690794E-2"/>
    <n v="8.2412118939688001E-2"/>
    <n v="0.113927506994859"/>
    <n v="0.13705016797976899"/>
    <n v="0.120446786458488"/>
    <n v="0.178463629965607"/>
  </r>
  <r>
    <x v="98"/>
    <n v="1.48078855584579E-2"/>
    <n v="3.9262835930652801E-2"/>
    <n v="0.187147583783428"/>
    <n v="5.2616966541287502E-2"/>
    <n v="3.0180422259170201E-2"/>
    <n v="7.8765020029763294E-2"/>
    <n v="-5.5756156884544496E-3"/>
    <n v="5.7175065231845699E-2"/>
    <n v="-9.7351841942483294E-2"/>
    <n v="3.4390158268265199E-2"/>
  </r>
  <r>
    <x v="99"/>
    <n v="-4.3144957906549097E-2"/>
    <n v="2.1228901674042799E-2"/>
    <n v="6.0126842437214202E-2"/>
    <n v="2.9301123803818401E-3"/>
    <n v="5.1899228156258401E-2"/>
    <n v="9.7321668426132601E-2"/>
    <n v="5.5700700580903303E-2"/>
    <n v="0.21714708585220999"/>
    <n v="5.7769965221998898E-2"/>
    <n v="-0.28270414165861502"/>
  </r>
  <r>
    <x v="100"/>
    <n v="-1.9992689868358698E-2"/>
    <n v="0.13007827251342099"/>
    <n v="9.7227178204067205E-2"/>
    <n v="-1.17744994103608E-2"/>
    <n v="5.6849523171375697E-2"/>
    <n v="0.2281650989092"/>
    <n v="3.9599903589437699E-2"/>
    <n v="0.25138848615801102"/>
    <n v="3.68791906458044E-3"/>
    <n v="7.5015243730299302E-2"/>
  </r>
  <r>
    <x v="101"/>
    <n v="-5.1372436126996601E-2"/>
    <n v="2.0272856475022898E-2"/>
    <n v="1.8980548516391301E-2"/>
    <n v="8.6234110240620193E-2"/>
    <n v="1.4241837560920101E-2"/>
    <n v="-8.2662160190054308E-3"/>
    <n v="1.8819120395825999E-2"/>
    <n v="0.132892896890317"/>
    <n v="0.117544407176234"/>
    <n v="-0.13838336066026199"/>
  </r>
  <r>
    <x v="102"/>
    <n v="-6.7289048227977804E-3"/>
    <n v="-3.0279762814048001E-2"/>
    <n v="-1.4899878856964199E-2"/>
    <n v="7.5583905512683694E-2"/>
    <n v="-6.5140780328364206E-2"/>
    <n v="-0.121163495548226"/>
    <n v="-7.7540352691296194E-2"/>
    <n v="-4.4699830913124301E-2"/>
    <n v="-9.9178971444972799E-2"/>
    <n v="4.1724937333440501E-2"/>
  </r>
  <r>
    <x v="103"/>
    <n v="0.121058786363249"/>
    <n v="8.1949013132249695E-3"/>
    <n v="2.1516050536095399E-2"/>
    <n v="5.79975205174868E-2"/>
    <n v="-7.8113731298553599E-3"/>
    <n v="8.1784588705714395E-2"/>
    <n v="6.4164528146992902E-2"/>
    <n v="0.23812762950743199"/>
    <n v="3.3015574507320102E-2"/>
    <n v="-2.8782150618005299E-2"/>
  </r>
  <r>
    <x v="104"/>
    <n v="9.2614080821329894E-2"/>
    <n v="9.1003812230792402E-2"/>
    <n v="0.18936557968972101"/>
    <n v="5.4433293071800101E-2"/>
    <n v="-1.3307433172125901E-2"/>
    <n v="7.7047636984031095E-2"/>
    <n v="7.5657112763677606E-2"/>
    <n v="0.11942670510430201"/>
    <n v="0.18638059482349001"/>
    <n v="0.10542789883227301"/>
  </r>
  <r>
    <x v="105"/>
    <n v="5.2982467636896298E-2"/>
    <n v="-3.2983028204361803E-2"/>
    <n v="3.9612319091233096E-3"/>
    <n v="-5.88670340342861E-2"/>
    <n v="4.9851534670773003E-2"/>
    <n v="-5.9063522860965702E-2"/>
    <n v="-6.6128295162811698E-2"/>
    <n v="-5.4138578147419701E-2"/>
    <n v="-1.2471136235338499E-2"/>
    <n v="0.159378263935159"/>
  </r>
  <r>
    <x v="106"/>
    <n v="3.0683969210240102E-2"/>
    <n v="-4.6413058043475799E-2"/>
    <n v="1.3230060830966501E-2"/>
    <n v="-4.8737662183776301E-2"/>
    <n v="4.2941192675674499E-2"/>
    <n v="9.3387938880244506E-2"/>
    <n v="-2.8966923351103802E-3"/>
    <n v="1.98836861134471E-2"/>
    <n v="1.5927339377539401E-2"/>
    <n v="-8.0549148643581495E-2"/>
  </r>
  <r>
    <x v="107"/>
    <n v="1.8473262923187201E-2"/>
    <n v="4.2930694019627499E-2"/>
    <n v="5.7752199032609197E-2"/>
    <n v="1.5005011935106999E-2"/>
    <n v="2.1410164808637701E-2"/>
    <n v="9.3563141858780299E-2"/>
    <n v="3.2861651968684499E-2"/>
    <n v="1.71921529366886E-2"/>
    <n v="0.18733447771846401"/>
    <n v="0.20044139025591801"/>
  </r>
  <r>
    <x v="108"/>
    <n v="-3.09015202679826E-2"/>
    <n v="3.7560701216951997E-4"/>
    <n v="-1.26691445325617E-2"/>
    <n v="3.2548791882411901E-2"/>
    <n v="1.1657227709234301E-2"/>
    <n v="-7.5725150984857301E-3"/>
    <n v="-5.7267694658911503E-2"/>
    <n v="8.9208670987409894E-2"/>
    <n v="-1.51374623856316E-2"/>
    <n v="-4.6070554116790001E-2"/>
  </r>
  <r>
    <x v="109"/>
    <n v="4.9314895158928999E-2"/>
    <n v="0.10911419140753199"/>
    <n v="-4.6354474072232803E-2"/>
    <n v="-1.2703716289766701E-2"/>
    <n v="6.5949681456610093E-2"/>
    <n v="1.18048937082971E-2"/>
    <n v="4.1244188219432203E-2"/>
    <n v="4.05204466708209E-2"/>
    <n v="9.8725366541661502E-2"/>
    <n v="0.32314733984989302"/>
  </r>
  <r>
    <x v="110"/>
    <n v="5.4787533346067799E-2"/>
    <n v="5.3841874291946798E-2"/>
    <n v="0.35795762597005198"/>
    <n v="0.113730508701998"/>
    <n v="-1.2024553658868099E-2"/>
    <n v="1.9296487103522601E-2"/>
    <n v="-2.6396642276690801E-3"/>
    <n v="-2.9062255247423702E-2"/>
    <n v="-0.103654443719661"/>
    <n v="0.157010682272687"/>
  </r>
  <r>
    <x v="111"/>
    <n v="-5.93077340523087E-2"/>
    <n v="8.00742632033829E-2"/>
    <n v="-4.3988312940377597E-2"/>
    <n v="7.6030048629823099E-2"/>
    <n v="5.3358623794751002E-2"/>
    <n v="0.16382550758638001"/>
    <n v="-1.53969149108522E-2"/>
    <n v="-0.111857397296231"/>
    <n v="2.0315404748587101E-2"/>
    <n v="1.8801648208516099E-3"/>
  </r>
  <r>
    <x v="112"/>
    <n v="2.4444370175878399E-2"/>
    <n v="-0.113019073194658"/>
    <n v="-0.103920246396925"/>
    <n v="-0.180773558828449"/>
    <n v="3.8375599098080602E-2"/>
    <n v="-3.0914794434587001E-2"/>
    <n v="-4.4511876139467298E-2"/>
    <n v="3.9598260138355899E-2"/>
    <n v="-2.1347459161905901E-2"/>
    <n v="-0.322794577432021"/>
  </r>
  <r>
    <x v="113"/>
    <n v="-8.3914619440841803E-2"/>
    <n v="-0.109514600181383"/>
    <n v="-0.17489789472231501"/>
    <n v="-9.6344435143580903E-2"/>
    <n v="-5.0151530248652598E-2"/>
    <n v="-0.147855262476661"/>
    <n v="-5.3942305918274001E-2"/>
    <n v="-0.14202997527938799"/>
    <n v="-0.17206436574276501"/>
    <n v="-0.122658715719867"/>
  </r>
  <r>
    <x v="114"/>
    <n v="-4.4320876874360399E-2"/>
    <n v="-3.1175792667315801E-2"/>
    <n v="0.142396146246175"/>
    <n v="2.7696891217681999E-2"/>
    <n v="-1.09205091484516E-4"/>
    <n v="-4.7744663198005799E-2"/>
    <n v="5.1578187367982802E-2"/>
    <n v="5.0620854316162298E-3"/>
    <n v="6.4873633877675996E-3"/>
    <n v="8.5028654346039997E-2"/>
  </r>
  <r>
    <x v="115"/>
    <n v="-5.6383367673479699E-2"/>
    <n v="0.10584299332548899"/>
    <n v="0.22928668885353201"/>
    <n v="7.8336109324931194E-2"/>
    <n v="6.7836973067498404E-2"/>
    <n v="0.16500491082838301"/>
    <n v="0.152464880334308"/>
    <n v="0.215623585850062"/>
    <n v="0.165966421797407"/>
    <n v="0.205293085922998"/>
  </r>
  <r>
    <x v="116"/>
    <n v="2.2590814570148599E-2"/>
    <n v="6.7792209514485696E-2"/>
    <n v="0.12990483651641599"/>
    <n v="2.5807887672444099E-2"/>
    <n v="-4.1241918587303798E-2"/>
    <n v="0.13096244320498601"/>
    <n v="7.9240193706366605E-2"/>
    <n v="0.156294309257066"/>
    <n v="0.27822823612945002"/>
    <n v="-8.6785743443785701E-2"/>
  </r>
  <r>
    <x v="117"/>
    <n v="1.16298290381129E-2"/>
    <n v="6.4940122421257407E-2"/>
    <n v="6.5778202991614895E-2"/>
    <n v="8.6394359386190805E-2"/>
    <n v="8.0290141776944105E-3"/>
    <n v="4.7551402295751097E-2"/>
    <n v="7.00442985963321E-2"/>
    <n v="0.1185909493591"/>
    <n v="0.14904735480651399"/>
    <n v="-3.00056060666785E-2"/>
  </r>
  <r>
    <x v="118"/>
    <n v="0.11187180044558701"/>
    <n v="-2.20690868179871E-2"/>
    <n v="1.24852701094069E-2"/>
    <n v="0.103895027831247"/>
    <n v="5.09766636019836E-2"/>
    <n v="-4.5956121936437402E-2"/>
    <n v="-5.1559697096131799E-2"/>
    <n v="-2.0963741925078098E-2"/>
    <n v="-0.113195399465256"/>
    <n v="7.9775673313112902E-2"/>
  </r>
  <r>
    <x v="119"/>
    <n v="9.3605314940035905E-2"/>
    <n v="-4.2050915272994198E-2"/>
    <n v="0.103775563365665"/>
    <n v="0.132603685838416"/>
    <n v="-4.5502071748712597E-2"/>
    <n v="-5.8652971497192303E-3"/>
    <n v="2.3621924276929E-2"/>
    <n v="6.8770841774635993E-2"/>
    <n v="0.21809820314316899"/>
    <n v="0.28669317499177099"/>
  </r>
  <r>
    <x v="120"/>
    <n v="-2.86029696769446E-2"/>
    <n v="-2.3501219834375298E-2"/>
    <n v="7.2612593217592294E-2"/>
    <n v="3.4704908697475001E-2"/>
    <n v="-3.2527150379618799E-2"/>
    <n v="-3.01757106206402E-2"/>
    <n v="-1.2316096469734901E-2"/>
    <n v="-2.5841638089870399E-2"/>
    <n v="0.10872862368549201"/>
    <n v="-3.6570872165064397E-2"/>
  </r>
  <r>
    <x v="12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A9C0A-826C-4052-BACB-9228580258F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C1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D042CE-B05B-47FA-B6AC-F612E4A336B7}" name="Tableau5" displayName="Tableau5" ref="B2:K64" totalsRowShown="0" headerRowDxfId="26" dataDxfId="24" headerRowBorderDxfId="25" tableBorderDxfId="23">
  <autoFilter ref="B2:K64" xr:uid="{7ED042CE-B05B-47FA-B6AC-F612E4A336B7}"/>
  <tableColumns count="10">
    <tableColumn id="1" xr3:uid="{7FFCB779-5CB2-4551-9E02-E5A12CD9B31C}" name="AAPL" dataDxfId="22"/>
    <tableColumn id="2" xr3:uid="{878F0CC7-5F7F-4EF3-9029-3970A63E7B69}" name="AMZN" dataDxfId="21"/>
    <tableColumn id="3" xr3:uid="{5DE9F870-A0BB-4638-9F51-60E75C2E15F1}" name="AVGO" dataDxfId="20"/>
    <tableColumn id="4" xr3:uid="{D46C3FED-9C2C-409C-B290-DEA2E258A4CB}" name="GOOGL" dataDxfId="19"/>
    <tableColumn id="5" xr3:uid="{5F347626-E341-473A-A20D-6363A35D5590}" name="MA" dataDxfId="18"/>
    <tableColumn id="6" xr3:uid="{F4F640D8-976D-47C7-8C49-663D7E89B4B5}" name="META" dataDxfId="17"/>
    <tableColumn id="7" xr3:uid="{DB25AD71-53F7-4D59-AD99-44DA77599B00}" name="MSFT" dataDxfId="16"/>
    <tableColumn id="8" xr3:uid="{AC809236-1C43-4B9C-B49D-EE70380E677D}" name="NVDA" dataDxfId="15"/>
    <tableColumn id="9" xr3:uid="{F6ECE9F6-00F8-498B-BAAB-64562C698685}" name="ORCL" dataDxfId="14"/>
    <tableColumn id="10" xr3:uid="{FEF5038A-6E80-4CBD-A12A-2D8E42B2784D}" name="TSLA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0862BC-E200-4780-92E3-FEBA419AC1DB}" name="Tableau6" displayName="Tableau6" ref="B2:K63" totalsRowShown="0" headerRowDxfId="12" headerRowBorderDxfId="11" tableBorderDxfId="10">
  <autoFilter ref="B2:K63" xr:uid="{620862BC-E200-4780-92E3-FEBA419AC1DB}"/>
  <tableColumns count="10">
    <tableColumn id="1" xr3:uid="{A11E55EB-4869-48F4-93D7-542A5741FC58}" name="AAPL" dataDxfId="9">
      <calculatedColumnFormula>LN('Historical Data'!B4/'Historical Data'!B3)</calculatedColumnFormula>
    </tableColumn>
    <tableColumn id="2" xr3:uid="{034E966F-9A80-422D-B116-F2D6E9E9D956}" name="AMZN" dataDxfId="8">
      <calculatedColumnFormula>LN('Historical Data'!C4/'Historical Data'!C3)</calculatedColumnFormula>
    </tableColumn>
    <tableColumn id="3" xr3:uid="{4165528A-7E5C-4880-8762-A00EE687B06A}" name="AVGO" dataDxfId="7">
      <calculatedColumnFormula>LN('Historical Data'!D4/'Historical Data'!D3)</calculatedColumnFormula>
    </tableColumn>
    <tableColumn id="4" xr3:uid="{F96A2780-8F77-4D65-9797-60EFF5745CC2}" name="GOOGL" dataDxfId="6">
      <calculatedColumnFormula>LN('Historical Data'!E4/'Historical Data'!E3)</calculatedColumnFormula>
    </tableColumn>
    <tableColumn id="5" xr3:uid="{66586BE6-2465-428A-9168-224EF522DDAE}" name="MA" dataDxfId="5">
      <calculatedColumnFormula>LN('Historical Data'!F4/'Historical Data'!F3)</calculatedColumnFormula>
    </tableColumn>
    <tableColumn id="6" xr3:uid="{4AA80DEE-452D-409E-8C56-944A0FF27B71}" name="META" dataDxfId="4">
      <calculatedColumnFormula>LN('Historical Data'!G4/'Historical Data'!G3)</calculatedColumnFormula>
    </tableColumn>
    <tableColumn id="7" xr3:uid="{9C8D5A39-A100-438F-9DBA-5E8514EDB946}" name="MSFT" dataDxfId="3">
      <calculatedColumnFormula>LN('Historical Data'!H4/'Historical Data'!H3)</calculatedColumnFormula>
    </tableColumn>
    <tableColumn id="8" xr3:uid="{62B0862C-7EBF-4ADD-8E26-5F71B948A2A5}" name="NVDA" dataDxfId="2">
      <calculatedColumnFormula>LN('Historical Data'!I4/'Historical Data'!I3)</calculatedColumnFormula>
    </tableColumn>
    <tableColumn id="9" xr3:uid="{F3692A42-AB6E-4888-A527-9A6301ABF2AC}" name="ORCL" dataDxfId="1">
      <calculatedColumnFormula>LN('Historical Data'!J4/'Historical Data'!J3)</calculatedColumnFormula>
    </tableColumn>
    <tableColumn id="10" xr3:uid="{01E00DAD-44CA-45C4-A1D7-7D679FE09B42}" name="TSLA" dataDxfId="0">
      <calculatedColumnFormula>LN('Historical Data'!K4/'Historical Data'!K3)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6701-C54A-4E2E-BC2C-532D2E6D308B}">
  <dimension ref="A2:N64"/>
  <sheetViews>
    <sheetView workbookViewId="0">
      <selection activeCell="J19" sqref="J19"/>
    </sheetView>
  </sheetViews>
  <sheetFormatPr baseColWidth="10" defaultColWidth="8.6328125" defaultRowHeight="14.5" x14ac:dyDescent="0.35"/>
  <cols>
    <col min="1" max="1" width="17.36328125" style="39" customWidth="1"/>
    <col min="5" max="5" width="8.81640625" customWidth="1"/>
    <col min="13" max="13" width="11.1796875" customWidth="1"/>
  </cols>
  <sheetData>
    <row r="2" spans="1:14" x14ac:dyDescent="0.35">
      <c r="A2" s="39" t="s">
        <v>0</v>
      </c>
      <c r="B2" s="96" t="s">
        <v>1</v>
      </c>
      <c r="C2" s="96" t="s">
        <v>2</v>
      </c>
      <c r="D2" s="96" t="s">
        <v>3</v>
      </c>
      <c r="E2" s="96" t="s">
        <v>4</v>
      </c>
      <c r="F2" s="96" t="s">
        <v>5</v>
      </c>
      <c r="G2" s="96" t="s">
        <v>6</v>
      </c>
      <c r="H2" s="96" t="s">
        <v>7</v>
      </c>
      <c r="I2" s="96" t="s">
        <v>8</v>
      </c>
      <c r="J2" s="96" t="s">
        <v>9</v>
      </c>
      <c r="K2" s="96" t="s">
        <v>10</v>
      </c>
    </row>
    <row r="3" spans="1:14" s="8" customFormat="1" x14ac:dyDescent="0.35">
      <c r="A3" s="98">
        <v>44075</v>
      </c>
      <c r="B3" s="99">
        <v>112.6504</v>
      </c>
      <c r="C3" s="99">
        <v>157.4365</v>
      </c>
      <c r="D3" s="99">
        <v>32.265610000000002</v>
      </c>
      <c r="E3" s="99">
        <v>72.778040000000004</v>
      </c>
      <c r="F3" s="99">
        <v>328.34660000000002</v>
      </c>
      <c r="G3" s="99">
        <v>260.29539999999997</v>
      </c>
      <c r="H3" s="99">
        <v>201.66980000000001</v>
      </c>
      <c r="I3" s="99">
        <v>13.485290000000001</v>
      </c>
      <c r="J3" s="99">
        <v>55.460349999999998</v>
      </c>
      <c r="K3" s="99">
        <v>143.0033</v>
      </c>
      <c r="N3"/>
    </row>
    <row r="4" spans="1:14" s="8" customFormat="1" x14ac:dyDescent="0.35">
      <c r="A4" s="98">
        <v>44105</v>
      </c>
      <c r="B4" s="99">
        <v>105.8901</v>
      </c>
      <c r="C4" s="99">
        <v>151.8075</v>
      </c>
      <c r="D4" s="99">
        <v>31.24691</v>
      </c>
      <c r="E4" s="99">
        <v>80.251999999999995</v>
      </c>
      <c r="F4" s="99">
        <v>280.25540000000001</v>
      </c>
      <c r="G4" s="99">
        <v>261.49790000000002</v>
      </c>
      <c r="H4" s="99">
        <v>194.13339999999999</v>
      </c>
      <c r="I4" s="99">
        <v>12.495850000000001</v>
      </c>
      <c r="J4" s="99">
        <v>52.125279999999997</v>
      </c>
      <c r="K4" s="99">
        <v>129.3467</v>
      </c>
      <c r="N4"/>
    </row>
    <row r="5" spans="1:14" s="8" customFormat="1" x14ac:dyDescent="0.35">
      <c r="A5" s="98">
        <v>44136</v>
      </c>
      <c r="B5" s="99">
        <v>115.8021</v>
      </c>
      <c r="C5" s="99">
        <v>158.40199999999999</v>
      </c>
      <c r="D5" s="99">
        <v>35.889749999999999</v>
      </c>
      <c r="E5" s="99">
        <v>87.119129999999998</v>
      </c>
      <c r="F5" s="99">
        <v>327.11540000000002</v>
      </c>
      <c r="G5" s="99">
        <v>275.27300000000002</v>
      </c>
      <c r="H5" s="99">
        <v>205.25569999999999</v>
      </c>
      <c r="I5" s="99">
        <v>13.360720000000001</v>
      </c>
      <c r="J5" s="99">
        <v>53.838090000000001</v>
      </c>
      <c r="K5" s="99">
        <v>189.2</v>
      </c>
      <c r="N5"/>
    </row>
    <row r="6" spans="1:14" s="8" customFormat="1" x14ac:dyDescent="0.35">
      <c r="A6" s="98">
        <v>44166</v>
      </c>
      <c r="B6" s="99">
        <v>129.29259999999999</v>
      </c>
      <c r="C6" s="99">
        <v>162.84649999999999</v>
      </c>
      <c r="D6" s="99">
        <v>39.131250000000001</v>
      </c>
      <c r="E6" s="99">
        <v>87.031750000000002</v>
      </c>
      <c r="F6" s="99">
        <v>346.97500000000002</v>
      </c>
      <c r="G6" s="99">
        <v>271.4864</v>
      </c>
      <c r="H6" s="99">
        <v>213.8203</v>
      </c>
      <c r="I6" s="99">
        <v>13.015269999999999</v>
      </c>
      <c r="J6" s="99">
        <v>60.339309999999998</v>
      </c>
      <c r="K6" s="99">
        <v>235.22329999999999</v>
      </c>
    </row>
    <row r="7" spans="1:14" x14ac:dyDescent="0.35">
      <c r="A7" s="97">
        <v>44197</v>
      </c>
      <c r="B7" s="2">
        <v>128.5813</v>
      </c>
      <c r="C7" s="2">
        <v>160.31</v>
      </c>
      <c r="D7" s="2">
        <v>40.604869999999998</v>
      </c>
      <c r="E7" s="2">
        <v>90.742140000000006</v>
      </c>
      <c r="F7" s="2">
        <v>307.45979999999997</v>
      </c>
      <c r="G7" s="2">
        <v>256.7473</v>
      </c>
      <c r="H7" s="2">
        <v>222.9914</v>
      </c>
      <c r="I7" s="2">
        <v>12.954040000000001</v>
      </c>
      <c r="J7" s="2">
        <v>56.365819999999999</v>
      </c>
      <c r="K7" s="2">
        <v>264.51</v>
      </c>
    </row>
    <row r="8" spans="1:14" x14ac:dyDescent="0.35">
      <c r="A8" s="97">
        <v>44228</v>
      </c>
      <c r="B8" s="2">
        <v>118.1553</v>
      </c>
      <c r="C8" s="2">
        <v>154.6465</v>
      </c>
      <c r="D8" s="2">
        <v>42.350729999999999</v>
      </c>
      <c r="E8" s="2">
        <v>100.40300000000001</v>
      </c>
      <c r="F8" s="2">
        <v>344.40730000000002</v>
      </c>
      <c r="G8" s="2">
        <v>256.04160000000002</v>
      </c>
      <c r="H8" s="2">
        <v>223.39519999999999</v>
      </c>
      <c r="I8" s="2">
        <v>13.6768</v>
      </c>
      <c r="J8" s="2">
        <v>60.401670000000003</v>
      </c>
      <c r="K8" s="2">
        <v>225.16669999999999</v>
      </c>
    </row>
    <row r="9" spans="1:14" x14ac:dyDescent="0.35">
      <c r="A9" s="97">
        <v>44256</v>
      </c>
      <c r="B9" s="2">
        <v>119.2003</v>
      </c>
      <c r="C9" s="2">
        <v>154.70400000000001</v>
      </c>
      <c r="D9" s="2">
        <v>41.79101</v>
      </c>
      <c r="E9" s="2">
        <v>102.4196</v>
      </c>
      <c r="F9" s="2">
        <v>346.54849999999999</v>
      </c>
      <c r="G9" s="2">
        <v>292.72539999999998</v>
      </c>
      <c r="H9" s="2">
        <v>227.17619999999999</v>
      </c>
      <c r="I9" s="2">
        <v>13.31156</v>
      </c>
      <c r="J9" s="2">
        <v>65.701210000000003</v>
      </c>
      <c r="K9" s="2">
        <v>222.64330000000001</v>
      </c>
    </row>
    <row r="10" spans="1:14" x14ac:dyDescent="0.35">
      <c r="A10" s="97">
        <v>44287</v>
      </c>
      <c r="B10" s="2">
        <v>128.28550000000001</v>
      </c>
      <c r="C10" s="2">
        <v>173.37100000000001</v>
      </c>
      <c r="D10" s="2">
        <v>41.44003</v>
      </c>
      <c r="E10" s="2">
        <v>116.8689</v>
      </c>
      <c r="F10" s="2">
        <v>371.86450000000002</v>
      </c>
      <c r="G10" s="2">
        <v>323.08819999999997</v>
      </c>
      <c r="H10" s="2">
        <v>242.988</v>
      </c>
      <c r="I10" s="2">
        <v>14.973409999999999</v>
      </c>
      <c r="J10" s="2">
        <v>70.963319999999996</v>
      </c>
      <c r="K10" s="2">
        <v>236.48</v>
      </c>
    </row>
    <row r="11" spans="1:14" x14ac:dyDescent="0.35">
      <c r="A11" s="97">
        <v>44317</v>
      </c>
      <c r="B11" s="2">
        <v>121.6009</v>
      </c>
      <c r="C11" s="2">
        <v>161.15350000000001</v>
      </c>
      <c r="D11" s="2">
        <v>42.905239999999999</v>
      </c>
      <c r="E11" s="2">
        <v>117.03530000000001</v>
      </c>
      <c r="F11" s="2">
        <v>351.37430000000001</v>
      </c>
      <c r="G11" s="2">
        <v>326.71589999999998</v>
      </c>
      <c r="H11" s="2">
        <v>240.57910000000001</v>
      </c>
      <c r="I11" s="2">
        <v>16.205439999999999</v>
      </c>
      <c r="J11" s="2">
        <v>74.044430000000006</v>
      </c>
      <c r="K11" s="2">
        <v>208.4067</v>
      </c>
    </row>
    <row r="12" spans="1:14" x14ac:dyDescent="0.35">
      <c r="A12" s="97">
        <v>44348</v>
      </c>
      <c r="B12" s="2">
        <v>133.87970000000001</v>
      </c>
      <c r="C12" s="2">
        <v>172.00800000000001</v>
      </c>
      <c r="D12" s="2">
        <v>43.314909999999998</v>
      </c>
      <c r="E12" s="2">
        <v>121.25320000000001</v>
      </c>
      <c r="F12" s="2">
        <v>355.76909999999998</v>
      </c>
      <c r="G12" s="2">
        <v>345.57960000000003</v>
      </c>
      <c r="H12" s="2">
        <v>261.62830000000002</v>
      </c>
      <c r="I12" s="2">
        <v>19.9544</v>
      </c>
      <c r="J12" s="2">
        <v>73.198080000000004</v>
      </c>
      <c r="K12" s="2">
        <v>226.5667</v>
      </c>
    </row>
    <row r="13" spans="1:14" x14ac:dyDescent="0.35">
      <c r="A13" s="97">
        <v>44378</v>
      </c>
      <c r="B13" s="2">
        <v>142.5795</v>
      </c>
      <c r="C13" s="2">
        <v>166.37950000000001</v>
      </c>
      <c r="D13" s="2">
        <v>44.437629999999999</v>
      </c>
      <c r="E13" s="2">
        <v>133.80359999999999</v>
      </c>
      <c r="F13" s="2">
        <v>376.08679999999998</v>
      </c>
      <c r="G13" s="2">
        <v>354.11689999999999</v>
      </c>
      <c r="H13" s="2">
        <v>275.15890000000002</v>
      </c>
      <c r="I13" s="2">
        <v>19.456569999999999</v>
      </c>
      <c r="J13" s="2">
        <v>81.943479999999994</v>
      </c>
      <c r="K13" s="2">
        <v>229.0667</v>
      </c>
    </row>
    <row r="14" spans="1:14" x14ac:dyDescent="0.35">
      <c r="A14" s="97">
        <v>44409</v>
      </c>
      <c r="B14" s="2">
        <v>148.4153</v>
      </c>
      <c r="C14" s="2">
        <v>173.5395</v>
      </c>
      <c r="D14" s="2">
        <v>45.518810000000002</v>
      </c>
      <c r="E14" s="2">
        <v>143.7063</v>
      </c>
      <c r="F14" s="2">
        <v>337.78820000000002</v>
      </c>
      <c r="G14" s="2">
        <v>377.05549999999999</v>
      </c>
      <c r="H14" s="2">
        <v>291.54809999999998</v>
      </c>
      <c r="I14" s="2">
        <v>22.336290000000002</v>
      </c>
      <c r="J14" s="2">
        <v>84.123990000000006</v>
      </c>
      <c r="K14" s="2">
        <v>245.24</v>
      </c>
    </row>
    <row r="15" spans="1:14" x14ac:dyDescent="0.35">
      <c r="A15" s="97">
        <v>44440</v>
      </c>
      <c r="B15" s="2">
        <v>138.5248</v>
      </c>
      <c r="C15" s="2">
        <v>164.25200000000001</v>
      </c>
      <c r="D15" s="2">
        <v>44.394599999999997</v>
      </c>
      <c r="E15" s="2">
        <v>132.7603</v>
      </c>
      <c r="F15" s="2">
        <v>339.20280000000002</v>
      </c>
      <c r="G15" s="2">
        <v>337.31060000000002</v>
      </c>
      <c r="H15" s="2">
        <v>272.79250000000002</v>
      </c>
      <c r="I15" s="2">
        <v>20.674569999999999</v>
      </c>
      <c r="J15" s="2">
        <v>82.236320000000006</v>
      </c>
      <c r="K15" s="2">
        <v>258.49329999999998</v>
      </c>
    </row>
    <row r="16" spans="1:14" x14ac:dyDescent="0.35">
      <c r="A16" s="97">
        <v>44470</v>
      </c>
      <c r="B16" s="2">
        <v>146.65029999999999</v>
      </c>
      <c r="C16" s="2">
        <v>168.6215</v>
      </c>
      <c r="D16" s="2">
        <v>49.030290000000001</v>
      </c>
      <c r="E16" s="2">
        <v>147.03190000000001</v>
      </c>
      <c r="F16" s="2">
        <v>327.33920000000001</v>
      </c>
      <c r="G16" s="2">
        <v>321.58760000000001</v>
      </c>
      <c r="H16" s="2">
        <v>320.88330000000002</v>
      </c>
      <c r="I16" s="2">
        <v>25.51586</v>
      </c>
      <c r="J16" s="2">
        <v>90.551509999999993</v>
      </c>
      <c r="K16" s="2">
        <v>371.33330000000001</v>
      </c>
    </row>
    <row r="17" spans="1:11" x14ac:dyDescent="0.35">
      <c r="A17" s="97">
        <v>44501</v>
      </c>
      <c r="B17" s="2">
        <v>161.8244</v>
      </c>
      <c r="C17" s="2">
        <v>175.3535</v>
      </c>
      <c r="D17" s="2">
        <v>51.060040000000001</v>
      </c>
      <c r="E17" s="2">
        <v>140.9255</v>
      </c>
      <c r="F17" s="2">
        <v>307.62970000000001</v>
      </c>
      <c r="G17" s="2">
        <v>322.47199999999998</v>
      </c>
      <c r="H17" s="2">
        <v>319.88670000000002</v>
      </c>
      <c r="I17" s="2">
        <v>32.61065</v>
      </c>
      <c r="J17" s="2">
        <v>85.941509999999994</v>
      </c>
      <c r="K17" s="2">
        <v>381.58670000000001</v>
      </c>
    </row>
    <row r="18" spans="1:11" x14ac:dyDescent="0.35">
      <c r="A18" s="97">
        <v>44531</v>
      </c>
      <c r="B18" s="2">
        <v>174.09020000000001</v>
      </c>
      <c r="C18" s="2">
        <v>166.71700000000001</v>
      </c>
      <c r="D18" s="2">
        <v>61.363720000000001</v>
      </c>
      <c r="E18" s="2">
        <v>143.85980000000001</v>
      </c>
      <c r="F18" s="2">
        <v>351.00189999999998</v>
      </c>
      <c r="G18" s="2">
        <v>334.28919999999999</v>
      </c>
      <c r="H18" s="2">
        <v>326.02659999999997</v>
      </c>
      <c r="I18" s="2">
        <v>29.352180000000001</v>
      </c>
      <c r="J18" s="2">
        <v>82.598169999999996</v>
      </c>
      <c r="K18" s="2">
        <v>352.26</v>
      </c>
    </row>
    <row r="19" spans="1:11" x14ac:dyDescent="0.35">
      <c r="A19" s="97">
        <v>44562</v>
      </c>
      <c r="B19" s="2">
        <v>171.35480000000001</v>
      </c>
      <c r="C19" s="2">
        <v>149.5735</v>
      </c>
      <c r="D19" s="2">
        <v>54.375129999999999</v>
      </c>
      <c r="E19" s="2">
        <v>134.3767</v>
      </c>
      <c r="F19" s="2">
        <v>377.43549999999999</v>
      </c>
      <c r="G19" s="2">
        <v>311.34070000000003</v>
      </c>
      <c r="H19" s="2">
        <v>301.46210000000002</v>
      </c>
      <c r="I19" s="2">
        <v>24.440020000000001</v>
      </c>
      <c r="J19" s="2">
        <v>76.868110000000001</v>
      </c>
      <c r="K19" s="2">
        <v>312.24</v>
      </c>
    </row>
    <row r="20" spans="1:11" x14ac:dyDescent="0.35">
      <c r="A20" s="97">
        <v>44593</v>
      </c>
      <c r="B20" s="2">
        <v>161.88409999999999</v>
      </c>
      <c r="C20" s="2">
        <v>153.56299999999999</v>
      </c>
      <c r="D20" s="2">
        <v>54.519919999999999</v>
      </c>
      <c r="E20" s="2">
        <v>134.1319</v>
      </c>
      <c r="F20" s="2">
        <v>352.92970000000003</v>
      </c>
      <c r="G20" s="2">
        <v>209.73699999999999</v>
      </c>
      <c r="H20" s="2">
        <v>289.64519999999999</v>
      </c>
      <c r="I20" s="2">
        <v>24.339210000000001</v>
      </c>
      <c r="J20" s="2">
        <v>72.219840000000005</v>
      </c>
      <c r="K20" s="2">
        <v>290.14330000000001</v>
      </c>
    </row>
    <row r="21" spans="1:11" x14ac:dyDescent="0.35">
      <c r="A21" s="97">
        <v>44621</v>
      </c>
      <c r="B21" s="2">
        <v>171.40629999999999</v>
      </c>
      <c r="C21" s="2">
        <v>162.9975</v>
      </c>
      <c r="D21" s="2">
        <v>58.440179999999998</v>
      </c>
      <c r="E21" s="2">
        <v>138.11490000000001</v>
      </c>
      <c r="F21" s="2">
        <v>349.56490000000002</v>
      </c>
      <c r="G21" s="2">
        <v>220.99760000000001</v>
      </c>
      <c r="H21" s="2">
        <v>299.49180000000001</v>
      </c>
      <c r="I21" s="2">
        <v>27.234760000000001</v>
      </c>
      <c r="J21" s="2">
        <v>78.646159999999995</v>
      </c>
      <c r="K21" s="2">
        <v>359.2</v>
      </c>
    </row>
    <row r="22" spans="1:11" x14ac:dyDescent="0.35">
      <c r="A22" s="97">
        <v>44652</v>
      </c>
      <c r="B22" s="2">
        <v>154.75739999999999</v>
      </c>
      <c r="C22" s="2">
        <v>124.28149999999999</v>
      </c>
      <c r="D22" s="2">
        <v>51.800490000000003</v>
      </c>
      <c r="E22" s="2">
        <v>113.3279</v>
      </c>
      <c r="F22" s="2">
        <v>355.43369999999999</v>
      </c>
      <c r="G22" s="2">
        <v>199.24170000000001</v>
      </c>
      <c r="H22" s="2">
        <v>269.58249999999998</v>
      </c>
      <c r="I22" s="2">
        <v>18.515329999999999</v>
      </c>
      <c r="J22" s="2">
        <v>69.776730000000001</v>
      </c>
      <c r="K22" s="2">
        <v>290.25330000000002</v>
      </c>
    </row>
    <row r="23" spans="1:11" x14ac:dyDescent="0.35">
      <c r="A23" s="97">
        <v>44682</v>
      </c>
      <c r="B23" s="2">
        <v>146.10910000000001</v>
      </c>
      <c r="C23" s="2">
        <v>120.20950000000001</v>
      </c>
      <c r="D23" s="2">
        <v>54.205570000000002</v>
      </c>
      <c r="E23" s="2">
        <v>112.9828</v>
      </c>
      <c r="F23" s="2">
        <v>350.5301</v>
      </c>
      <c r="G23" s="2">
        <v>192.45359999999999</v>
      </c>
      <c r="H23" s="2">
        <v>264.09410000000003</v>
      </c>
      <c r="I23" s="2">
        <v>18.64012</v>
      </c>
      <c r="J23" s="2">
        <v>68.637240000000006</v>
      </c>
      <c r="K23" s="2">
        <v>252.7533</v>
      </c>
    </row>
    <row r="24" spans="1:11" x14ac:dyDescent="0.35">
      <c r="A24" s="97">
        <v>44713</v>
      </c>
      <c r="B24" s="2">
        <v>134.40870000000001</v>
      </c>
      <c r="C24" s="2">
        <v>106.21</v>
      </c>
      <c r="D24" s="2">
        <v>45.392589999999998</v>
      </c>
      <c r="E24" s="2">
        <v>108.2166</v>
      </c>
      <c r="F24" s="2">
        <v>309.00940000000003</v>
      </c>
      <c r="G24" s="2">
        <v>160.262</v>
      </c>
      <c r="H24" s="2">
        <v>250.06530000000001</v>
      </c>
      <c r="I24" s="2">
        <v>15.13311</v>
      </c>
      <c r="J24" s="2">
        <v>66.680819999999997</v>
      </c>
      <c r="K24" s="2">
        <v>224.47329999999999</v>
      </c>
    </row>
    <row r="25" spans="1:11" x14ac:dyDescent="0.35">
      <c r="A25" s="97">
        <v>44743</v>
      </c>
      <c r="B25" s="2">
        <v>159.7627</v>
      </c>
      <c r="C25" s="2">
        <v>134.94999999999999</v>
      </c>
      <c r="D25" s="2">
        <v>50.448399999999999</v>
      </c>
      <c r="E25" s="2">
        <v>115.5232</v>
      </c>
      <c r="F25" s="2">
        <v>346.53379999999999</v>
      </c>
      <c r="G25" s="2">
        <v>158.12520000000001</v>
      </c>
      <c r="H25" s="2">
        <v>273.34559999999999</v>
      </c>
      <c r="I25" s="2">
        <v>18.135819999999999</v>
      </c>
      <c r="J25" s="2">
        <v>74.287009999999995</v>
      </c>
      <c r="K25" s="2">
        <v>297.14999999999998</v>
      </c>
    </row>
    <row r="26" spans="1:11" x14ac:dyDescent="0.35">
      <c r="A26" s="97">
        <v>44774</v>
      </c>
      <c r="B26" s="2">
        <v>154.56209999999999</v>
      </c>
      <c r="C26" s="2">
        <v>126.77</v>
      </c>
      <c r="D26" s="2">
        <v>47.021929999999998</v>
      </c>
      <c r="E26" s="2">
        <v>107.4787</v>
      </c>
      <c r="F26" s="2">
        <v>318.20400000000001</v>
      </c>
      <c r="G26" s="2">
        <v>161.93170000000001</v>
      </c>
      <c r="H26" s="2">
        <v>254.5831</v>
      </c>
      <c r="I26" s="2">
        <v>15.07141</v>
      </c>
      <c r="J26" s="2">
        <v>71.081950000000006</v>
      </c>
      <c r="K26" s="2">
        <v>275.61</v>
      </c>
    </row>
    <row r="27" spans="1:11" x14ac:dyDescent="0.35">
      <c r="A27" s="97">
        <v>44805</v>
      </c>
      <c r="B27" s="2">
        <v>136.05240000000001</v>
      </c>
      <c r="C27" s="2">
        <v>113</v>
      </c>
      <c r="D27" s="2">
        <v>41.830880000000001</v>
      </c>
      <c r="E27" s="2">
        <v>94.994810000000001</v>
      </c>
      <c r="F27" s="2">
        <v>278.935</v>
      </c>
      <c r="G27" s="2">
        <v>134.84870000000001</v>
      </c>
      <c r="H27" s="2">
        <v>227.24700000000001</v>
      </c>
      <c r="I27" s="2">
        <v>12.12083</v>
      </c>
      <c r="J27" s="2">
        <v>58.543149999999997</v>
      </c>
      <c r="K27" s="2">
        <v>265.25</v>
      </c>
    </row>
    <row r="28" spans="1:11" x14ac:dyDescent="0.35">
      <c r="A28" s="97">
        <v>44835</v>
      </c>
      <c r="B28" s="2">
        <v>150.95699999999999</v>
      </c>
      <c r="C28" s="2">
        <v>102.44</v>
      </c>
      <c r="D28" s="2">
        <v>44.662120000000002</v>
      </c>
      <c r="E28" s="2">
        <v>93.862629999999996</v>
      </c>
      <c r="F28" s="2">
        <v>321.94159999999999</v>
      </c>
      <c r="G28" s="2">
        <v>92.589219999999997</v>
      </c>
      <c r="H28" s="2">
        <v>226.4956</v>
      </c>
      <c r="I28" s="2">
        <v>13.4808</v>
      </c>
      <c r="J28" s="2">
        <v>74.839749999999995</v>
      </c>
      <c r="K28" s="2">
        <v>227.54</v>
      </c>
    </row>
    <row r="29" spans="1:11" x14ac:dyDescent="0.35">
      <c r="A29" s="97">
        <v>44866</v>
      </c>
      <c r="B29" s="2">
        <v>145.7296</v>
      </c>
      <c r="C29" s="2">
        <v>96.54</v>
      </c>
      <c r="D29" s="2">
        <v>52.348689999999998</v>
      </c>
      <c r="E29" s="2">
        <v>100.29819999999999</v>
      </c>
      <c r="F29" s="2">
        <v>350.1893</v>
      </c>
      <c r="G29" s="2">
        <v>117.3764</v>
      </c>
      <c r="H29" s="2">
        <v>248.94710000000001</v>
      </c>
      <c r="I29" s="2">
        <v>16.90269</v>
      </c>
      <c r="J29" s="2">
        <v>80.003680000000003</v>
      </c>
      <c r="K29" s="2">
        <v>194.7</v>
      </c>
    </row>
    <row r="30" spans="1:11" x14ac:dyDescent="0.35">
      <c r="A30" s="97">
        <v>44896</v>
      </c>
      <c r="B30" s="2">
        <v>128.12299999999999</v>
      </c>
      <c r="C30" s="2">
        <v>84</v>
      </c>
      <c r="D30" s="2">
        <v>53.118200000000002</v>
      </c>
      <c r="E30" s="2">
        <v>87.625640000000004</v>
      </c>
      <c r="F30" s="2">
        <v>341.67039999999997</v>
      </c>
      <c r="G30" s="2">
        <v>119.6027</v>
      </c>
      <c r="H30" s="2">
        <v>234.6584</v>
      </c>
      <c r="I30" s="2">
        <v>14.600199999999999</v>
      </c>
      <c r="J30" s="2">
        <v>78.7607</v>
      </c>
      <c r="K30" s="2">
        <v>123.18</v>
      </c>
    </row>
    <row r="31" spans="1:11" x14ac:dyDescent="0.35">
      <c r="A31" s="97">
        <v>44927</v>
      </c>
      <c r="B31" s="2">
        <v>142.2833</v>
      </c>
      <c r="C31" s="2">
        <v>103.13</v>
      </c>
      <c r="D31" s="2">
        <v>56.040570000000002</v>
      </c>
      <c r="E31" s="2">
        <v>98.162949999999995</v>
      </c>
      <c r="F31" s="2">
        <v>364.14179999999999</v>
      </c>
      <c r="G31" s="2">
        <v>148.05719999999999</v>
      </c>
      <c r="H31" s="2">
        <v>242.47640000000001</v>
      </c>
      <c r="I31" s="2">
        <v>19.518550000000001</v>
      </c>
      <c r="J31" s="2">
        <v>85.235759999999999</v>
      </c>
      <c r="K31" s="2">
        <v>173.22</v>
      </c>
    </row>
    <row r="32" spans="1:11" x14ac:dyDescent="0.35">
      <c r="A32" s="97">
        <v>44958</v>
      </c>
      <c r="B32" s="2">
        <v>145.36000000000001</v>
      </c>
      <c r="C32" s="2">
        <v>94.23</v>
      </c>
      <c r="D32" s="2">
        <v>56.929540000000003</v>
      </c>
      <c r="E32" s="2">
        <v>89.443110000000004</v>
      </c>
      <c r="F32" s="2">
        <v>349.66520000000003</v>
      </c>
      <c r="G32" s="2">
        <v>173.8681</v>
      </c>
      <c r="H32" s="2">
        <v>244.05179999999999</v>
      </c>
      <c r="I32" s="2">
        <v>23.19407</v>
      </c>
      <c r="J32" s="2">
        <v>84.530169999999998</v>
      </c>
      <c r="K32" s="2">
        <v>205.71</v>
      </c>
    </row>
    <row r="33" spans="1:11" x14ac:dyDescent="0.35">
      <c r="A33" s="97">
        <v>44986</v>
      </c>
      <c r="B33" s="2">
        <v>162.85499999999999</v>
      </c>
      <c r="C33" s="2">
        <v>103.29</v>
      </c>
      <c r="D33" s="2">
        <v>61.45581</v>
      </c>
      <c r="E33" s="2">
        <v>103.01949999999999</v>
      </c>
      <c r="F33" s="2">
        <v>357.65660000000003</v>
      </c>
      <c r="G33" s="2">
        <v>210.6414</v>
      </c>
      <c r="H33" s="2">
        <v>282.80149999999998</v>
      </c>
      <c r="I33" s="2">
        <v>27.750769999999999</v>
      </c>
      <c r="J33" s="2">
        <v>89.868930000000006</v>
      </c>
      <c r="K33" s="2">
        <v>207.46</v>
      </c>
    </row>
    <row r="34" spans="1:11" x14ac:dyDescent="0.35">
      <c r="A34" s="97">
        <v>45017</v>
      </c>
      <c r="B34" s="2">
        <v>167.57570000000001</v>
      </c>
      <c r="C34" s="2">
        <v>105.45</v>
      </c>
      <c r="D34" s="2">
        <v>60.447029999999998</v>
      </c>
      <c r="E34" s="2">
        <v>106.60469999999999</v>
      </c>
      <c r="F34" s="2">
        <v>374.0136</v>
      </c>
      <c r="G34" s="2">
        <v>238.8476</v>
      </c>
      <c r="H34" s="2">
        <v>301.39999999999998</v>
      </c>
      <c r="I34" s="2">
        <v>27.727499999999999</v>
      </c>
      <c r="J34" s="2">
        <v>91.609819999999999</v>
      </c>
      <c r="K34" s="2">
        <v>164.31</v>
      </c>
    </row>
    <row r="35" spans="1:11" x14ac:dyDescent="0.35">
      <c r="A35" s="97">
        <v>45047</v>
      </c>
      <c r="B35" s="2">
        <v>175.05179999999999</v>
      </c>
      <c r="C35" s="2">
        <v>120.58</v>
      </c>
      <c r="D35" s="2">
        <v>77.954949999999997</v>
      </c>
      <c r="E35" s="2">
        <v>122.0284</v>
      </c>
      <c r="F35" s="2">
        <v>359.80470000000003</v>
      </c>
      <c r="G35" s="2">
        <v>263.09809999999999</v>
      </c>
      <c r="H35" s="2">
        <v>322.12700000000001</v>
      </c>
      <c r="I35" s="2">
        <v>37.804690000000001</v>
      </c>
      <c r="J35" s="2">
        <v>102.8905</v>
      </c>
      <c r="K35" s="2">
        <v>203.93</v>
      </c>
    </row>
    <row r="36" spans="1:11" x14ac:dyDescent="0.35">
      <c r="A36" s="97">
        <v>45078</v>
      </c>
      <c r="B36" s="2">
        <v>191.8295</v>
      </c>
      <c r="C36" s="2">
        <v>130.36000000000001</v>
      </c>
      <c r="D36" s="2">
        <v>83.692840000000004</v>
      </c>
      <c r="E36" s="2">
        <v>118.8801</v>
      </c>
      <c r="F36" s="2">
        <v>387.6807</v>
      </c>
      <c r="G36" s="2">
        <v>285.2217</v>
      </c>
      <c r="H36" s="2">
        <v>334.77550000000002</v>
      </c>
      <c r="I36" s="2">
        <v>42.269219999999997</v>
      </c>
      <c r="J36" s="2">
        <v>115.6619</v>
      </c>
      <c r="K36" s="2">
        <v>261.77</v>
      </c>
    </row>
    <row r="37" spans="1:11" x14ac:dyDescent="0.35">
      <c r="A37" s="97">
        <v>45108</v>
      </c>
      <c r="B37" s="2">
        <v>194.28210000000001</v>
      </c>
      <c r="C37" s="2">
        <v>133.68</v>
      </c>
      <c r="D37" s="2">
        <v>87.166989999999998</v>
      </c>
      <c r="E37" s="2">
        <v>131.8109</v>
      </c>
      <c r="F37" s="2">
        <v>388.64670000000001</v>
      </c>
      <c r="G37" s="2">
        <v>316.64800000000002</v>
      </c>
      <c r="H37" s="2">
        <v>330.2337</v>
      </c>
      <c r="I37" s="2">
        <v>46.697629999999997</v>
      </c>
      <c r="J37" s="2">
        <v>113.85550000000001</v>
      </c>
      <c r="K37" s="2">
        <v>267.43</v>
      </c>
    </row>
    <row r="38" spans="1:11" x14ac:dyDescent="0.35">
      <c r="A38" s="97">
        <v>45139</v>
      </c>
      <c r="B38" s="2">
        <v>185.79679999999999</v>
      </c>
      <c r="C38" s="2">
        <v>138.01</v>
      </c>
      <c r="D38" s="2">
        <v>89.518209999999996</v>
      </c>
      <c r="E38" s="2">
        <v>135.2373</v>
      </c>
      <c r="F38" s="2">
        <v>407.33260000000001</v>
      </c>
      <c r="G38" s="2">
        <v>294.07709999999997</v>
      </c>
      <c r="H38" s="2">
        <v>322.21179999999998</v>
      </c>
      <c r="I38" s="2">
        <v>49.321869999999997</v>
      </c>
      <c r="J38" s="2">
        <v>117.3349</v>
      </c>
      <c r="K38" s="2">
        <v>258.08</v>
      </c>
    </row>
    <row r="39" spans="1:11" x14ac:dyDescent="0.35">
      <c r="A39" s="97">
        <v>45170</v>
      </c>
      <c r="B39" s="2">
        <v>169.54929999999999</v>
      </c>
      <c r="C39" s="2">
        <v>127.12</v>
      </c>
      <c r="D39" s="2">
        <v>80.564350000000005</v>
      </c>
      <c r="E39" s="2">
        <v>129.96360000000001</v>
      </c>
      <c r="F39" s="2">
        <v>390.81779999999998</v>
      </c>
      <c r="G39" s="2">
        <v>298.3707</v>
      </c>
      <c r="H39" s="2">
        <v>311.06229999999999</v>
      </c>
      <c r="I39" s="2">
        <v>43.469799999999999</v>
      </c>
      <c r="J39" s="2">
        <v>103.2321</v>
      </c>
      <c r="K39" s="2">
        <v>250.22</v>
      </c>
    </row>
    <row r="40" spans="1:11" x14ac:dyDescent="0.35">
      <c r="A40" s="97">
        <v>45200</v>
      </c>
      <c r="B40" s="2">
        <v>169.11359999999999</v>
      </c>
      <c r="C40" s="2">
        <v>133.09</v>
      </c>
      <c r="D40" s="2">
        <v>82.055440000000004</v>
      </c>
      <c r="E40" s="2">
        <v>123.23009999999999</v>
      </c>
      <c r="F40" s="2">
        <v>371.5093</v>
      </c>
      <c r="G40" s="2">
        <v>299.42410000000001</v>
      </c>
      <c r="H40" s="2">
        <v>333.09030000000001</v>
      </c>
      <c r="I40" s="2">
        <v>40.755980000000001</v>
      </c>
      <c r="J40" s="2">
        <v>100.776</v>
      </c>
      <c r="K40" s="2">
        <v>200.84</v>
      </c>
    </row>
    <row r="41" spans="1:11" x14ac:dyDescent="0.35">
      <c r="A41" s="97">
        <v>45231</v>
      </c>
      <c r="B41" s="2">
        <v>188.10749999999999</v>
      </c>
      <c r="C41" s="2">
        <v>146.09</v>
      </c>
      <c r="D41" s="2">
        <v>90.282740000000004</v>
      </c>
      <c r="E41" s="2">
        <v>131.62219999999999</v>
      </c>
      <c r="F41" s="2">
        <v>409.09949999999998</v>
      </c>
      <c r="G41" s="2">
        <v>325.1456</v>
      </c>
      <c r="H41" s="2">
        <v>373.28460000000001</v>
      </c>
      <c r="I41" s="2">
        <v>46.742449999999998</v>
      </c>
      <c r="J41" s="2">
        <v>113.6754</v>
      </c>
      <c r="K41" s="2">
        <v>240.08</v>
      </c>
    </row>
    <row r="42" spans="1:11" x14ac:dyDescent="0.35">
      <c r="A42" s="97">
        <v>45261</v>
      </c>
      <c r="B42" s="2">
        <v>190.91370000000001</v>
      </c>
      <c r="C42" s="2">
        <v>151.94</v>
      </c>
      <c r="D42" s="2">
        <v>108.8634</v>
      </c>
      <c r="E42" s="2">
        <v>138.73320000000001</v>
      </c>
      <c r="F42" s="2">
        <v>421.6345</v>
      </c>
      <c r="G42" s="2">
        <v>351.79129999999998</v>
      </c>
      <c r="H42" s="2">
        <v>371.20909999999998</v>
      </c>
      <c r="I42" s="2">
        <v>49.492829999999998</v>
      </c>
      <c r="J42" s="2">
        <v>103.1305</v>
      </c>
      <c r="K42" s="2">
        <v>248.48</v>
      </c>
    </row>
    <row r="43" spans="1:11" x14ac:dyDescent="0.35">
      <c r="A43" s="97">
        <v>45292</v>
      </c>
      <c r="B43" s="2">
        <v>182.8519</v>
      </c>
      <c r="C43" s="2">
        <v>155.19999999999999</v>
      </c>
      <c r="D43" s="2">
        <v>115.60980000000001</v>
      </c>
      <c r="E43" s="2">
        <v>139.1403</v>
      </c>
      <c r="F43" s="2">
        <v>444.09480000000002</v>
      </c>
      <c r="G43" s="2">
        <v>387.74959999999999</v>
      </c>
      <c r="H43" s="2">
        <v>392.47239999999999</v>
      </c>
      <c r="I43" s="2">
        <v>61.496169999999999</v>
      </c>
      <c r="J43" s="2">
        <v>109.2638</v>
      </c>
      <c r="K43" s="2">
        <v>187.29</v>
      </c>
    </row>
    <row r="44" spans="1:11" x14ac:dyDescent="0.35">
      <c r="A44" s="97">
        <v>45323</v>
      </c>
      <c r="B44" s="2">
        <v>179.23249999999999</v>
      </c>
      <c r="C44" s="2">
        <v>176.76</v>
      </c>
      <c r="D44" s="2">
        <v>127.4148</v>
      </c>
      <c r="E44" s="2">
        <v>137.51159999999999</v>
      </c>
      <c r="F44" s="2">
        <v>470.07279999999997</v>
      </c>
      <c r="G44" s="2">
        <v>487.12700000000001</v>
      </c>
      <c r="H44" s="2">
        <v>408.3261</v>
      </c>
      <c r="I44" s="2">
        <v>79.072360000000003</v>
      </c>
      <c r="J44" s="2">
        <v>109.6675</v>
      </c>
      <c r="K44" s="2">
        <v>201.88</v>
      </c>
    </row>
    <row r="45" spans="1:11" x14ac:dyDescent="0.35">
      <c r="A45" s="97">
        <v>45352</v>
      </c>
      <c r="B45" s="2">
        <v>170.25739999999999</v>
      </c>
      <c r="C45" s="2">
        <v>180.38</v>
      </c>
      <c r="D45" s="2">
        <v>129.8563</v>
      </c>
      <c r="E45" s="2">
        <v>149.89609999999999</v>
      </c>
      <c r="F45" s="2">
        <v>476.81540000000001</v>
      </c>
      <c r="G45" s="2">
        <v>483.11689999999999</v>
      </c>
      <c r="H45" s="2">
        <v>416.08319999999998</v>
      </c>
      <c r="I45" s="2">
        <v>90.310730000000007</v>
      </c>
      <c r="J45" s="2">
        <v>123.34650000000001</v>
      </c>
      <c r="K45" s="2">
        <v>175.79</v>
      </c>
    </row>
    <row r="46" spans="1:11" x14ac:dyDescent="0.35">
      <c r="A46" s="97">
        <v>45383</v>
      </c>
      <c r="B46" s="2">
        <v>169.1156</v>
      </c>
      <c r="C46" s="2">
        <v>175</v>
      </c>
      <c r="D46" s="2">
        <v>127.9358</v>
      </c>
      <c r="E46" s="2">
        <v>161.66499999999999</v>
      </c>
      <c r="F46" s="2">
        <v>446.74529999999999</v>
      </c>
      <c r="G46" s="2">
        <v>427.988</v>
      </c>
      <c r="H46" s="2">
        <v>385.03910000000002</v>
      </c>
      <c r="I46" s="2">
        <v>86.362750000000005</v>
      </c>
      <c r="J46" s="2">
        <v>111.7002</v>
      </c>
      <c r="K46" s="2">
        <v>183.28</v>
      </c>
    </row>
    <row r="47" spans="1:11" x14ac:dyDescent="0.35">
      <c r="A47" s="97">
        <v>45413</v>
      </c>
      <c r="B47" s="2">
        <v>190.8793</v>
      </c>
      <c r="C47" s="2">
        <v>176.44</v>
      </c>
      <c r="D47" s="2">
        <v>130.7183</v>
      </c>
      <c r="E47" s="2">
        <v>171.3184</v>
      </c>
      <c r="F47" s="2">
        <v>443.26920000000001</v>
      </c>
      <c r="G47" s="2">
        <v>464.46199999999999</v>
      </c>
      <c r="H47" s="2">
        <v>410.5548</v>
      </c>
      <c r="I47" s="2">
        <v>109.58320000000001</v>
      </c>
      <c r="J47" s="2">
        <v>115.4496</v>
      </c>
      <c r="K47" s="2">
        <v>178.08</v>
      </c>
    </row>
    <row r="48" spans="1:11" x14ac:dyDescent="0.35">
      <c r="A48" s="97">
        <v>45444</v>
      </c>
      <c r="B48" s="2">
        <v>209.40190000000001</v>
      </c>
      <c r="C48" s="2">
        <v>193.25</v>
      </c>
      <c r="D48" s="2">
        <v>157.9708</v>
      </c>
      <c r="E48" s="2">
        <v>180.9023</v>
      </c>
      <c r="F48" s="2">
        <v>437.40949999999998</v>
      </c>
      <c r="G48" s="2">
        <v>501.66239999999999</v>
      </c>
      <c r="H48" s="2">
        <v>442.82139999999998</v>
      </c>
      <c r="I48" s="2">
        <v>123.48390000000001</v>
      </c>
      <c r="J48" s="2">
        <v>139.10300000000001</v>
      </c>
      <c r="K48" s="2">
        <v>197.88</v>
      </c>
    </row>
    <row r="49" spans="1:11" x14ac:dyDescent="0.35">
      <c r="A49" s="97">
        <v>45474</v>
      </c>
      <c r="B49" s="2">
        <v>220.79570000000001</v>
      </c>
      <c r="C49" s="2">
        <v>186.98</v>
      </c>
      <c r="D49" s="2">
        <v>158.59780000000001</v>
      </c>
      <c r="E49" s="2">
        <v>170.56049999999999</v>
      </c>
      <c r="F49" s="2">
        <v>459.76769999999999</v>
      </c>
      <c r="G49" s="2">
        <v>472.89049999999997</v>
      </c>
      <c r="H49" s="2">
        <v>414.48559999999998</v>
      </c>
      <c r="I49" s="2">
        <v>116.9764</v>
      </c>
      <c r="J49" s="2">
        <v>137.37899999999999</v>
      </c>
      <c r="K49" s="2">
        <v>232.07</v>
      </c>
    </row>
    <row r="50" spans="1:11" x14ac:dyDescent="0.35">
      <c r="A50" s="97">
        <v>45505</v>
      </c>
      <c r="B50" s="2">
        <v>227.6756</v>
      </c>
      <c r="C50" s="2">
        <v>178.5</v>
      </c>
      <c r="D50" s="2">
        <v>160.71</v>
      </c>
      <c r="E50" s="2">
        <v>162.44710000000001</v>
      </c>
      <c r="F50" s="2">
        <v>479.94069999999999</v>
      </c>
      <c r="G50" s="2">
        <v>519.18060000000003</v>
      </c>
      <c r="H50" s="2">
        <v>413.2867</v>
      </c>
      <c r="I50" s="2">
        <v>119.32559999999999</v>
      </c>
      <c r="J50" s="2">
        <v>139.58459999999999</v>
      </c>
      <c r="K50" s="2">
        <v>214.11</v>
      </c>
    </row>
    <row r="51" spans="1:11" x14ac:dyDescent="0.35">
      <c r="A51" s="97">
        <v>45536</v>
      </c>
      <c r="B51" s="2">
        <v>231.92060000000001</v>
      </c>
      <c r="C51" s="2">
        <v>186.33</v>
      </c>
      <c r="D51" s="2">
        <v>170.2646</v>
      </c>
      <c r="E51" s="2">
        <v>164.90299999999999</v>
      </c>
      <c r="F51" s="2">
        <v>490.32709999999997</v>
      </c>
      <c r="G51" s="2">
        <v>570.10180000000003</v>
      </c>
      <c r="H51" s="2">
        <v>427.09359999999998</v>
      </c>
      <c r="I51" s="2">
        <v>121.3948</v>
      </c>
      <c r="J51" s="2">
        <v>168.3433</v>
      </c>
      <c r="K51" s="2">
        <v>261.63</v>
      </c>
    </row>
    <row r="52" spans="1:11" x14ac:dyDescent="0.35">
      <c r="A52" s="97">
        <v>45566</v>
      </c>
      <c r="B52" s="2">
        <v>224.86349999999999</v>
      </c>
      <c r="C52" s="2">
        <v>186.4</v>
      </c>
      <c r="D52" s="2">
        <v>168.12110000000001</v>
      </c>
      <c r="E52" s="2">
        <v>170.3587</v>
      </c>
      <c r="F52" s="2">
        <v>496.07639999999998</v>
      </c>
      <c r="G52" s="2">
        <v>565.80100000000004</v>
      </c>
      <c r="H52" s="2">
        <v>403.32209999999998</v>
      </c>
      <c r="I52" s="2">
        <v>132.72200000000001</v>
      </c>
      <c r="J52" s="2">
        <v>165.8142</v>
      </c>
      <c r="K52" s="2">
        <v>249.85</v>
      </c>
    </row>
    <row r="53" spans="1:11" x14ac:dyDescent="0.35">
      <c r="A53" s="97">
        <v>45597</v>
      </c>
      <c r="B53" s="2">
        <v>236.23060000000001</v>
      </c>
      <c r="C53" s="2">
        <v>207.89</v>
      </c>
      <c r="D53" s="2">
        <v>160.50579999999999</v>
      </c>
      <c r="E53" s="2">
        <v>168.20820000000001</v>
      </c>
      <c r="F53" s="2">
        <v>529.8954</v>
      </c>
      <c r="G53" s="2">
        <v>572.51980000000003</v>
      </c>
      <c r="H53" s="2">
        <v>420.30459999999999</v>
      </c>
      <c r="I53" s="2">
        <v>138.21039999999999</v>
      </c>
      <c r="J53" s="2">
        <v>183.0196</v>
      </c>
      <c r="K53" s="2">
        <v>345.16</v>
      </c>
    </row>
    <row r="54" spans="1:11" x14ac:dyDescent="0.35">
      <c r="A54" s="97">
        <v>45627</v>
      </c>
      <c r="B54" s="2">
        <v>249.5342</v>
      </c>
      <c r="C54" s="2">
        <v>219.39</v>
      </c>
      <c r="D54" s="2">
        <v>229.5883</v>
      </c>
      <c r="E54" s="2">
        <v>188.46889999999999</v>
      </c>
      <c r="F54" s="2">
        <v>523.56179999999995</v>
      </c>
      <c r="G54" s="2">
        <v>583.67470000000003</v>
      </c>
      <c r="H54" s="2">
        <v>419.19659999999999</v>
      </c>
      <c r="I54" s="2">
        <v>134.25149999999999</v>
      </c>
      <c r="J54" s="2">
        <v>164.99889999999999</v>
      </c>
      <c r="K54" s="2">
        <v>403.84</v>
      </c>
    </row>
    <row r="55" spans="1:11" x14ac:dyDescent="0.35">
      <c r="A55" s="97">
        <v>45658</v>
      </c>
      <c r="B55" s="2">
        <v>235.1652</v>
      </c>
      <c r="C55" s="2">
        <v>237.68</v>
      </c>
      <c r="D55" s="2">
        <v>219.708</v>
      </c>
      <c r="E55" s="2">
        <v>203.357</v>
      </c>
      <c r="F55" s="2">
        <v>552.25710000000004</v>
      </c>
      <c r="G55" s="2">
        <v>687.57389999999998</v>
      </c>
      <c r="H55" s="2">
        <v>412.79169999999999</v>
      </c>
      <c r="I55" s="2">
        <v>120.04389999999999</v>
      </c>
      <c r="J55" s="2">
        <v>168.3852</v>
      </c>
      <c r="K55" s="2">
        <v>404.6</v>
      </c>
    </row>
    <row r="56" spans="1:11" x14ac:dyDescent="0.35">
      <c r="A56" s="97">
        <v>45689</v>
      </c>
      <c r="B56" s="2">
        <v>240.9845</v>
      </c>
      <c r="C56" s="2">
        <v>212.28</v>
      </c>
      <c r="D56" s="2">
        <v>198.0222</v>
      </c>
      <c r="E56" s="2">
        <v>169.72669999999999</v>
      </c>
      <c r="F56" s="2">
        <v>573.86220000000003</v>
      </c>
      <c r="G56" s="2">
        <v>666.64290000000005</v>
      </c>
      <c r="H56" s="2">
        <v>394.82049999999998</v>
      </c>
      <c r="I56" s="2">
        <v>124.89279999999999</v>
      </c>
      <c r="J56" s="2">
        <v>164.8287</v>
      </c>
      <c r="K56" s="2">
        <v>292.98</v>
      </c>
    </row>
    <row r="57" spans="1:11" x14ac:dyDescent="0.35">
      <c r="A57" s="97">
        <v>45717</v>
      </c>
      <c r="B57" s="2">
        <v>221.58760000000001</v>
      </c>
      <c r="C57" s="2">
        <v>190.26</v>
      </c>
      <c r="D57" s="2">
        <v>166.24809999999999</v>
      </c>
      <c r="E57" s="2">
        <v>154.13749999999999</v>
      </c>
      <c r="F57" s="2">
        <v>545.79190000000006</v>
      </c>
      <c r="G57" s="2">
        <v>575.01679999999999</v>
      </c>
      <c r="H57" s="2">
        <v>374.0872</v>
      </c>
      <c r="I57" s="2">
        <v>108.35639999999999</v>
      </c>
      <c r="J57" s="2">
        <v>138.77340000000001</v>
      </c>
      <c r="K57" s="2">
        <v>259.16000000000003</v>
      </c>
    </row>
    <row r="58" spans="1:11" x14ac:dyDescent="0.35">
      <c r="A58" s="97">
        <v>45748</v>
      </c>
      <c r="B58" s="2">
        <v>211.9811</v>
      </c>
      <c r="C58" s="2">
        <v>184.42</v>
      </c>
      <c r="D58" s="2">
        <v>191.68960000000001</v>
      </c>
      <c r="E58" s="2">
        <v>158.46629999999999</v>
      </c>
      <c r="F58" s="2">
        <v>545.73230000000001</v>
      </c>
      <c r="G58" s="2">
        <v>548.2079</v>
      </c>
      <c r="H58" s="2">
        <v>393.88819999999998</v>
      </c>
      <c r="I58" s="2">
        <v>108.9063</v>
      </c>
      <c r="J58" s="2">
        <v>139.67660000000001</v>
      </c>
      <c r="K58" s="2">
        <v>282.16000000000003</v>
      </c>
    </row>
    <row r="59" spans="1:11" x14ac:dyDescent="0.35">
      <c r="A59" s="97">
        <v>45778</v>
      </c>
      <c r="B59" s="2">
        <v>200.3596</v>
      </c>
      <c r="C59" s="2">
        <v>205.01</v>
      </c>
      <c r="D59" s="2">
        <v>241.08850000000001</v>
      </c>
      <c r="E59" s="2">
        <v>171.37909999999999</v>
      </c>
      <c r="F59" s="2">
        <v>584.03769999999997</v>
      </c>
      <c r="G59" s="2">
        <v>646.55579999999998</v>
      </c>
      <c r="H59" s="2">
        <v>458.76220000000001</v>
      </c>
      <c r="I59" s="2">
        <v>135.113</v>
      </c>
      <c r="J59" s="2">
        <v>164.8929</v>
      </c>
      <c r="K59" s="2">
        <v>346.46</v>
      </c>
    </row>
    <row r="60" spans="1:11" x14ac:dyDescent="0.35">
      <c r="A60" s="97">
        <v>45809</v>
      </c>
      <c r="B60" s="2">
        <v>204.9374</v>
      </c>
      <c r="C60" s="2">
        <v>219.39</v>
      </c>
      <c r="D60" s="2">
        <v>274.53230000000002</v>
      </c>
      <c r="E60" s="2">
        <v>175.8596</v>
      </c>
      <c r="F60" s="2">
        <v>560.44079999999997</v>
      </c>
      <c r="G60" s="2">
        <v>737.02509999999995</v>
      </c>
      <c r="H60" s="2">
        <v>496.59370000000001</v>
      </c>
      <c r="I60" s="2">
        <v>157.9701</v>
      </c>
      <c r="J60" s="2">
        <v>217.7885</v>
      </c>
      <c r="K60" s="2">
        <v>317.66000000000003</v>
      </c>
    </row>
    <row r="61" spans="1:11" x14ac:dyDescent="0.35">
      <c r="A61" s="97">
        <v>45839</v>
      </c>
      <c r="B61" s="2">
        <v>207.3347</v>
      </c>
      <c r="C61" s="2">
        <v>234.11</v>
      </c>
      <c r="D61" s="2">
        <v>293.1977</v>
      </c>
      <c r="E61" s="2">
        <v>191.7285</v>
      </c>
      <c r="F61" s="2">
        <v>564.95870000000002</v>
      </c>
      <c r="G61" s="2">
        <v>772.91830000000004</v>
      </c>
      <c r="H61" s="2">
        <v>532.62440000000004</v>
      </c>
      <c r="I61" s="2">
        <v>177.86</v>
      </c>
      <c r="J61" s="2">
        <v>252.79320000000001</v>
      </c>
      <c r="K61" s="2">
        <v>308.27</v>
      </c>
    </row>
    <row r="62" spans="1:11" x14ac:dyDescent="0.35">
      <c r="A62" s="97">
        <v>45870</v>
      </c>
      <c r="B62" s="2">
        <v>231.8768</v>
      </c>
      <c r="C62" s="2">
        <v>229</v>
      </c>
      <c r="D62" s="2">
        <v>296.88130000000001</v>
      </c>
      <c r="E62" s="2">
        <v>212.71969999999999</v>
      </c>
      <c r="F62" s="2">
        <v>594.50509999999997</v>
      </c>
      <c r="G62" s="2">
        <v>738.20180000000005</v>
      </c>
      <c r="H62" s="2">
        <v>505.85840000000002</v>
      </c>
      <c r="I62" s="2">
        <v>174.17019999999999</v>
      </c>
      <c r="J62" s="2">
        <v>225.73830000000001</v>
      </c>
      <c r="K62" s="2">
        <v>333.87</v>
      </c>
    </row>
    <row r="63" spans="1:11" x14ac:dyDescent="0.35">
      <c r="A63" s="97">
        <v>45901</v>
      </c>
      <c r="B63" s="2">
        <v>254.63</v>
      </c>
      <c r="C63" s="2">
        <v>219.57</v>
      </c>
      <c r="D63" s="2">
        <v>329.34570000000002</v>
      </c>
      <c r="E63" s="2">
        <v>242.8828</v>
      </c>
      <c r="F63" s="2">
        <v>568.06010000000003</v>
      </c>
      <c r="G63" s="2">
        <v>733.88469999999995</v>
      </c>
      <c r="H63" s="2">
        <v>517.95000000000005</v>
      </c>
      <c r="I63" s="2">
        <v>186.56950000000001</v>
      </c>
      <c r="J63" s="2">
        <v>280.75279999999998</v>
      </c>
      <c r="K63" s="2">
        <v>444.72</v>
      </c>
    </row>
    <row r="64" spans="1:11" x14ac:dyDescent="0.35">
      <c r="A64" s="97">
        <v>45931</v>
      </c>
      <c r="B64" s="2">
        <v>247.45</v>
      </c>
      <c r="C64" s="2">
        <v>214.47</v>
      </c>
      <c r="D64" s="2">
        <v>354.15</v>
      </c>
      <c r="E64" s="2">
        <v>251.46</v>
      </c>
      <c r="F64" s="2">
        <v>549.88</v>
      </c>
      <c r="G64" s="2">
        <v>712.07</v>
      </c>
      <c r="H64" s="2">
        <v>511.61</v>
      </c>
      <c r="I64" s="2">
        <v>181.81</v>
      </c>
      <c r="J64" s="2">
        <v>313</v>
      </c>
      <c r="K64" s="2">
        <v>428.75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411D-B629-401C-A160-F34134310DB1}">
  <dimension ref="A1:L489"/>
  <sheetViews>
    <sheetView topLeftCell="A51" workbookViewId="0">
      <selection activeCell="G75" sqref="G75"/>
    </sheetView>
  </sheetViews>
  <sheetFormatPr baseColWidth="10" defaultColWidth="8.6328125" defaultRowHeight="14.5" x14ac:dyDescent="0.35"/>
  <cols>
    <col min="1" max="1" width="25.6328125" style="103" customWidth="1"/>
    <col min="2" max="2" width="13.36328125" customWidth="1"/>
    <col min="3" max="3" width="9.6328125" bestFit="1" customWidth="1"/>
    <col min="4" max="11" width="9.81640625" bestFit="1" customWidth="1"/>
  </cols>
  <sheetData>
    <row r="1" spans="1:11" x14ac:dyDescent="0.35">
      <c r="B1" s="122" t="s">
        <v>11</v>
      </c>
      <c r="C1" s="123"/>
      <c r="D1" s="123"/>
      <c r="E1" s="123"/>
      <c r="F1" s="123"/>
      <c r="G1" s="123"/>
      <c r="H1" s="123"/>
      <c r="I1" s="123"/>
      <c r="J1" s="123"/>
      <c r="K1" s="124"/>
    </row>
    <row r="2" spans="1:11" x14ac:dyDescent="0.35">
      <c r="A2" s="104" t="s">
        <v>0</v>
      </c>
      <c r="B2" s="100" t="s">
        <v>1</v>
      </c>
      <c r="C2" s="100" t="s">
        <v>2</v>
      </c>
      <c r="D2" s="100" t="s">
        <v>3</v>
      </c>
      <c r="E2" s="100" t="s">
        <v>4</v>
      </c>
      <c r="F2" s="100" t="s">
        <v>5</v>
      </c>
      <c r="G2" s="100" t="s">
        <v>6</v>
      </c>
      <c r="H2" s="100" t="s">
        <v>7</v>
      </c>
      <c r="I2" s="100" t="s">
        <v>8</v>
      </c>
      <c r="J2" s="100" t="s">
        <v>9</v>
      </c>
      <c r="K2" s="100" t="s">
        <v>10</v>
      </c>
    </row>
    <row r="3" spans="1:11" x14ac:dyDescent="0.35">
      <c r="A3" s="105">
        <v>44075</v>
      </c>
      <c r="B3" s="3">
        <f>LN('Historical Data'!B4/'Historical Data'!B3)</f>
        <v>-6.1887453874919993E-2</v>
      </c>
      <c r="C3" s="3">
        <f>LN('Historical Data'!C4/'Historical Data'!C3)</f>
        <v>-3.640893151011803E-2</v>
      </c>
      <c r="D3" s="3">
        <f>LN('Historical Data'!D4/'Historical Data'!D3)</f>
        <v>-3.2081465850851081E-2</v>
      </c>
      <c r="E3" s="3">
        <f>LN('Historical Data'!E4/'Historical Data'!E3)</f>
        <v>9.7757422471977648E-2</v>
      </c>
      <c r="F3" s="3">
        <f>LN('Historical Data'!F4/'Historical Data'!F3)</f>
        <v>-0.15836842750215305</v>
      </c>
      <c r="G3" s="3">
        <f>LN('Historical Data'!G4/'Historical Data'!G3)</f>
        <v>4.6091129526474447E-3</v>
      </c>
      <c r="H3" s="3">
        <f>LN('Historical Data'!H4/'Historical Data'!H3)</f>
        <v>-3.8086154811212615E-2</v>
      </c>
      <c r="I3" s="3">
        <f>LN('Historical Data'!I4/'Historical Data'!I3)</f>
        <v>-7.6202872552745868E-2</v>
      </c>
      <c r="J3" s="3">
        <f>LN('Historical Data'!J4/'Historical Data'!J3)</f>
        <v>-6.2018299215212777E-2</v>
      </c>
      <c r="K3" s="3">
        <f>LN('Historical Data'!K4/'Historical Data'!K3)</f>
        <v>-0.100371310786385</v>
      </c>
    </row>
    <row r="4" spans="1:11" x14ac:dyDescent="0.35">
      <c r="A4" s="105">
        <v>44105</v>
      </c>
      <c r="B4" s="3">
        <f>LN('Historical Data'!B5/'Historical Data'!B4)</f>
        <v>8.9480935871332171E-2</v>
      </c>
      <c r="C4" s="3">
        <f>LN('Historical Data'!C5/'Historical Data'!C4)</f>
        <v>4.2522834707578269E-2</v>
      </c>
      <c r="D4" s="3">
        <f>LN('Historical Data'!D5/'Historical Data'!D4)</f>
        <v>0.13853124811317888</v>
      </c>
      <c r="E4" s="3">
        <f>LN('Historical Data'!E5/'Historical Data'!E4)</f>
        <v>8.2104808530992626E-2</v>
      </c>
      <c r="F4" s="3">
        <f>LN('Historical Data'!F5/'Historical Data'!F4)</f>
        <v>0.15461168356274446</v>
      </c>
      <c r="G4" s="3">
        <f>LN('Historical Data'!G5/'Historical Data'!G4)</f>
        <v>5.1337079631452377E-2</v>
      </c>
      <c r="H4" s="3">
        <f>LN('Historical Data'!H5/'Historical Data'!H4)</f>
        <v>5.5710967336991574E-2</v>
      </c>
      <c r="I4" s="3">
        <f>LN('Historical Data'!I5/'Historical Data'!I4)</f>
        <v>6.6922469687881028E-2</v>
      </c>
      <c r="J4" s="3">
        <f>LN('Historical Data'!J5/'Historical Data'!J4)</f>
        <v>3.2331157417114433E-2</v>
      </c>
      <c r="K4" s="3">
        <f>LN('Historical Data'!K5/'Historical Data'!K4)</f>
        <v>0.38030826048744676</v>
      </c>
    </row>
    <row r="5" spans="1:11" x14ac:dyDescent="0.35">
      <c r="A5" s="105">
        <v>44136</v>
      </c>
      <c r="B5" s="3">
        <f>LN('Historical Data'!B6/'Historical Data'!B5)</f>
        <v>0.11019535320538647</v>
      </c>
      <c r="C5" s="3">
        <f>LN('Historical Data'!C6/'Historical Data'!C5)</f>
        <v>2.767193375733203E-2</v>
      </c>
      <c r="D5" s="3">
        <f>LN('Historical Data'!D6/'Historical Data'!D5)</f>
        <v>8.6469641104843731E-2</v>
      </c>
      <c r="E5" s="3">
        <f>LN('Historical Data'!E6/'Historical Data'!E5)</f>
        <v>-1.0034977409553211E-3</v>
      </c>
      <c r="F5" s="3">
        <f>LN('Historical Data'!F6/'Historical Data'!F5)</f>
        <v>5.8939717402266327E-2</v>
      </c>
      <c r="G5" s="3">
        <f>LN('Historical Data'!G6/'Historical Data'!G5)</f>
        <v>-1.3851286473141782E-2</v>
      </c>
      <c r="H5" s="3">
        <f>LN('Historical Data'!H6/'Historical Data'!H5)</f>
        <v>4.0879423675771034E-2</v>
      </c>
      <c r="I5" s="3">
        <f>LN('Historical Data'!I6/'Historical Data'!I5)</f>
        <v>-2.6195775346695586E-2</v>
      </c>
      <c r="J5" s="3">
        <f>LN('Historical Data'!J6/'Historical Data'!J5)</f>
        <v>0.11400258924071206</v>
      </c>
      <c r="K5" s="3">
        <f>LN('Historical Data'!K6/'Historical Data'!K5)</f>
        <v>0.21773061912596831</v>
      </c>
    </row>
    <row r="6" spans="1:11" x14ac:dyDescent="0.35">
      <c r="A6" s="105">
        <v>44166</v>
      </c>
      <c r="B6" s="3">
        <f>LN('Historical Data'!B7/'Historical Data'!B6)</f>
        <v>-5.5166637953627468E-3</v>
      </c>
      <c r="C6" s="3">
        <f>LN('Historical Data'!C7/'Historical Data'!C6)</f>
        <v>-1.5698598618990936E-2</v>
      </c>
      <c r="D6" s="3">
        <f>LN('Historical Data'!D7/'Historical Data'!D6)</f>
        <v>3.6966629641605048E-2</v>
      </c>
      <c r="E6" s="3">
        <f>LN('Historical Data'!E7/'Historical Data'!E6)</f>
        <v>4.1748863215721882E-2</v>
      </c>
      <c r="F6" s="3">
        <f>LN('Historical Data'!F7/'Historical Data'!F6)</f>
        <v>-0.12090838424878265</v>
      </c>
      <c r="G6" s="3">
        <f>LN('Historical Data'!G7/'Historical Data'!G6)</f>
        <v>-5.5819713351147542E-2</v>
      </c>
      <c r="H6" s="3">
        <f>LN('Historical Data'!H7/'Historical Data'!H6)</f>
        <v>4.1997263060384232E-2</v>
      </c>
      <c r="I6" s="3">
        <f>LN('Historical Data'!I7/'Historical Data'!I6)</f>
        <v>-4.7155749199687185E-3</v>
      </c>
      <c r="J6" s="3">
        <f>LN('Historical Data'!J7/'Historical Data'!J6)</f>
        <v>-6.8120852039201096E-2</v>
      </c>
      <c r="K6" s="3">
        <f>LN('Historical Data'!K7/'Historical Data'!K6)</f>
        <v>0.11734378202329922</v>
      </c>
    </row>
    <row r="7" spans="1:11" x14ac:dyDescent="0.35">
      <c r="A7" s="105">
        <v>44197</v>
      </c>
      <c r="B7" s="3">
        <f>LN('Historical Data'!B8/'Historical Data'!B7)</f>
        <v>-8.4561528241633863E-2</v>
      </c>
      <c r="C7" s="3">
        <f>LN('Historical Data'!C8/'Historical Data'!C7)</f>
        <v>-3.5967573575716387E-2</v>
      </c>
      <c r="D7" s="3">
        <f>LN('Historical Data'!D8/'Historical Data'!D7)</f>
        <v>4.2097648104560591E-2</v>
      </c>
      <c r="E7" s="3">
        <f>LN('Historical Data'!E8/'Historical Data'!E7)</f>
        <v>0.10117022946559021</v>
      </c>
      <c r="F7" s="3">
        <f>LN('Historical Data'!F8/'Historical Data'!F7)</f>
        <v>0.11348062161920829</v>
      </c>
      <c r="G7" s="3">
        <f>LN('Historical Data'!G8/'Historical Data'!G7)</f>
        <v>-2.7524014092933815E-3</v>
      </c>
      <c r="H7" s="3">
        <f>LN('Historical Data'!H8/'Historical Data'!H7)</f>
        <v>1.8091945866774556E-3</v>
      </c>
      <c r="I7" s="3">
        <f>LN('Historical Data'!I8/'Historical Data'!I7)</f>
        <v>5.4293258097365821E-2</v>
      </c>
      <c r="J7" s="3">
        <f>LN('Historical Data'!J8/'Historical Data'!J7)</f>
        <v>6.9153807139363865E-2</v>
      </c>
      <c r="K7" s="3">
        <f>LN('Historical Data'!K8/'Historical Data'!K7)</f>
        <v>-0.16103804099642244</v>
      </c>
    </row>
    <row r="8" spans="1:11" x14ac:dyDescent="0.35">
      <c r="A8" s="105">
        <v>44228</v>
      </c>
      <c r="B8" s="3">
        <f>LN('Historical Data'!B9/'Historical Data'!B8)</f>
        <v>8.8054105487271311E-3</v>
      </c>
      <c r="C8" s="3">
        <f>LN('Historical Data'!C9/'Historical Data'!C8)</f>
        <v>3.7174661532602977E-4</v>
      </c>
      <c r="D8" s="3">
        <f>LN('Historical Data'!D9/'Historical Data'!D8)</f>
        <v>-1.3304413628523228E-2</v>
      </c>
      <c r="E8" s="3">
        <f>LN('Historical Data'!E9/'Historical Data'!E8)</f>
        <v>1.9886013250264397E-2</v>
      </c>
      <c r="F8" s="3">
        <f>LN('Historical Data'!F9/'Historical Data'!F8)</f>
        <v>6.1978113625538673E-3</v>
      </c>
      <c r="G8" s="3">
        <f>LN('Historical Data'!G9/'Historical Data'!G8)</f>
        <v>0.13389503692622345</v>
      </c>
      <c r="H8" s="3">
        <f>LN('Historical Data'!H9/'Historical Data'!H8)</f>
        <v>1.6783527558111161E-2</v>
      </c>
      <c r="I8" s="3">
        <f>LN('Historical Data'!I9/'Historical Data'!I8)</f>
        <v>-2.7068136054657993E-2</v>
      </c>
      <c r="J8" s="3">
        <f>LN('Historical Data'!J9/'Historical Data'!J8)</f>
        <v>8.4100588802992329E-2</v>
      </c>
      <c r="K8" s="3">
        <f>LN('Historical Data'!K9/'Historical Data'!K8)</f>
        <v>-1.1270077528446894E-2</v>
      </c>
    </row>
    <row r="9" spans="1:11" x14ac:dyDescent="0.35">
      <c r="A9" s="105">
        <v>44256</v>
      </c>
      <c r="B9" s="3">
        <f>LN('Historical Data'!B10/'Historical Data'!B9)</f>
        <v>7.3452977460266314E-2</v>
      </c>
      <c r="C9" s="3">
        <f>LN('Historical Data'!C10/'Historical Data'!C9)</f>
        <v>0.11392019325058272</v>
      </c>
      <c r="D9" s="3">
        <f>LN('Historical Data'!D10/'Historical Data'!D9)</f>
        <v>-8.4339227399363465E-3</v>
      </c>
      <c r="E9" s="3">
        <f>LN('Historical Data'!E10/'Historical Data'!E9)</f>
        <v>0.13197469319383717</v>
      </c>
      <c r="F9" s="3">
        <f>LN('Historical Data'!F10/'Historical Data'!F9)</f>
        <v>7.0506760632270252E-2</v>
      </c>
      <c r="G9" s="3">
        <f>LN('Historical Data'!G10/'Historical Data'!G9)</f>
        <v>9.8690382758579318E-2</v>
      </c>
      <c r="H9" s="3">
        <f>LN('Historical Data'!H10/'Historical Data'!H9)</f>
        <v>6.7286131566296467E-2</v>
      </c>
      <c r="I9" s="3">
        <f>LN('Historical Data'!I10/'Historical Data'!I9)</f>
        <v>0.11764313075475889</v>
      </c>
      <c r="J9" s="3">
        <f>LN('Historical Data'!J10/'Historical Data'!J9)</f>
        <v>7.7045781460902379E-2</v>
      </c>
      <c r="K9" s="3">
        <f>LN('Historical Data'!K10/'Historical Data'!K9)</f>
        <v>6.0292698517660941E-2</v>
      </c>
    </row>
    <row r="10" spans="1:11" x14ac:dyDescent="0.35">
      <c r="A10" s="105">
        <v>44287</v>
      </c>
      <c r="B10" s="3">
        <f>LN('Historical Data'!B11/'Historical Data'!B10)</f>
        <v>-5.351387804640572E-2</v>
      </c>
      <c r="C10" s="3">
        <f>LN('Historical Data'!C11/'Historical Data'!C10)</f>
        <v>-7.3076480070740385E-2</v>
      </c>
      <c r="D10" s="3">
        <f>LN('Historical Data'!D11/'Historical Data'!D10)</f>
        <v>3.4746641107891607E-2</v>
      </c>
      <c r="E10" s="3">
        <f>LN('Historical Data'!E11/'Historical Data'!E10)</f>
        <v>1.4228049609312638E-3</v>
      </c>
      <c r="F10" s="3">
        <f>LN('Historical Data'!F11/'Historical Data'!F10)</f>
        <v>-5.6677503556045304E-2</v>
      </c>
      <c r="G10" s="3">
        <f>LN('Historical Data'!G11/'Historical Data'!G10)</f>
        <v>1.1165634963294559E-2</v>
      </c>
      <c r="H10" s="3">
        <f>LN('Historical Data'!H11/'Historical Data'!H10)</f>
        <v>-9.9631258055516616E-3</v>
      </c>
      <c r="I10" s="3">
        <f>LN('Historical Data'!I11/'Historical Data'!I10)</f>
        <v>7.9071026935706196E-2</v>
      </c>
      <c r="J10" s="3">
        <f>LN('Historical Data'!J11/'Historical Data'!J10)</f>
        <v>4.2502194609303552E-2</v>
      </c>
      <c r="K10" s="3">
        <f>LN('Historical Data'!K11/'Historical Data'!K10)</f>
        <v>-0.12637217868532388</v>
      </c>
    </row>
    <row r="11" spans="1:11" x14ac:dyDescent="0.35">
      <c r="A11" s="105">
        <v>44317</v>
      </c>
      <c r="B11" s="3">
        <f>LN('Historical Data'!B12/'Historical Data'!B11)</f>
        <v>9.6197264707480842E-2</v>
      </c>
      <c r="C11" s="3">
        <f>LN('Historical Data'!C12/'Historical Data'!C11)</f>
        <v>6.5183660438693752E-2</v>
      </c>
      <c r="D11" s="3">
        <f>LN('Historical Data'!D12/'Historical Data'!D11)</f>
        <v>9.5029545407167397E-3</v>
      </c>
      <c r="E11" s="3">
        <f>LN('Historical Data'!E12/'Historical Data'!E11)</f>
        <v>3.5405322527577006E-2</v>
      </c>
      <c r="F11" s="3">
        <f>LN('Historical Data'!F12/'Historical Data'!F11)</f>
        <v>1.2429887866245834E-2</v>
      </c>
      <c r="G11" s="3">
        <f>LN('Historical Data'!G12/'Historical Data'!G11)</f>
        <v>5.6132021483949759E-2</v>
      </c>
      <c r="H11" s="3">
        <f>LN('Historical Data'!H12/'Historical Data'!H11)</f>
        <v>8.3875860560516741E-2</v>
      </c>
      <c r="I11" s="3">
        <f>LN('Historical Data'!I12/'Historical Data'!I11)</f>
        <v>0.20810268205799495</v>
      </c>
      <c r="J11" s="3">
        <f>LN('Historical Data'!J12/'Historical Data'!J11)</f>
        <v>-1.1496127323293701E-2</v>
      </c>
      <c r="K11" s="3">
        <f>LN('Historical Data'!K12/'Historical Data'!K11)</f>
        <v>8.3547923733690035E-2</v>
      </c>
    </row>
    <row r="12" spans="1:11" x14ac:dyDescent="0.35">
      <c r="A12" s="105">
        <v>44348</v>
      </c>
      <c r="B12" s="3">
        <f>LN('Historical Data'!B13/'Historical Data'!B12)</f>
        <v>6.2958103352188044E-2</v>
      </c>
      <c r="C12" s="3">
        <f>LN('Historical Data'!C13/'Historical Data'!C12)</f>
        <v>-3.3269663677392113E-2</v>
      </c>
      <c r="D12" s="3">
        <f>LN('Historical Data'!D13/'Historical Data'!D12)</f>
        <v>2.5589715478485361E-2</v>
      </c>
      <c r="E12" s="3">
        <f>LN('Historical Data'!E13/'Historical Data'!E12)</f>
        <v>9.8492131939855204E-2</v>
      </c>
      <c r="F12" s="3">
        <f>LN('Historical Data'!F13/'Historical Data'!F12)</f>
        <v>5.5538042894363975E-2</v>
      </c>
      <c r="G12" s="3">
        <f>LN('Historical Data'!G13/'Historical Data'!G12)</f>
        <v>2.4404077199958792E-2</v>
      </c>
      <c r="H12" s="3">
        <f>LN('Historical Data'!H13/'Historical Data'!H12)</f>
        <v>5.0423954815644371E-2</v>
      </c>
      <c r="I12" s="3">
        <f>LN('Historical Data'!I13/'Historical Data'!I12)</f>
        <v>-2.5264868166827381E-2</v>
      </c>
      <c r="J12" s="3">
        <f>LN('Historical Data'!J13/'Historical Data'!J12)</f>
        <v>0.11286055020189936</v>
      </c>
      <c r="K12" s="3">
        <f>LN('Historical Data'!K13/'Historical Data'!K12)</f>
        <v>1.0973844711766484E-2</v>
      </c>
    </row>
    <row r="13" spans="1:11" x14ac:dyDescent="0.35">
      <c r="A13" s="105">
        <v>44378</v>
      </c>
      <c r="B13" s="3">
        <f>LN('Historical Data'!B14/'Historical Data'!B13)</f>
        <v>4.0114686269191041E-2</v>
      </c>
      <c r="C13" s="3">
        <f>LN('Historical Data'!C14/'Historical Data'!C13)</f>
        <v>4.2133915498725999E-2</v>
      </c>
      <c r="D13" s="3">
        <f>LN('Historical Data'!D14/'Historical Data'!D13)</f>
        <v>2.4039014105066245E-2</v>
      </c>
      <c r="E13" s="3">
        <f>LN('Historical Data'!E14/'Historical Data'!E13)</f>
        <v>7.1398580298323702E-2</v>
      </c>
      <c r="F13" s="3">
        <f>LN('Historical Data'!F14/'Historical Data'!F13)</f>
        <v>-0.10740089596052549</v>
      </c>
      <c r="G13" s="3">
        <f>LN('Historical Data'!G14/'Historical Data'!G13)</f>
        <v>6.2765306857205119E-2</v>
      </c>
      <c r="H13" s="3">
        <f>LN('Historical Data'!H14/'Historical Data'!H13)</f>
        <v>5.7856251778716387E-2</v>
      </c>
      <c r="I13" s="3">
        <f>LN('Historical Data'!I14/'Historical Data'!I13)</f>
        <v>0.13802790779042068</v>
      </c>
      <c r="J13" s="3">
        <f>LN('Historical Data'!J14/'Historical Data'!J13)</f>
        <v>2.6262040632314715E-2</v>
      </c>
      <c r="K13" s="3">
        <f>LN('Historical Data'!K14/'Historical Data'!K13)</f>
        <v>6.8224095374517624E-2</v>
      </c>
    </row>
    <row r="14" spans="1:11" x14ac:dyDescent="0.35">
      <c r="A14" s="105">
        <v>44409</v>
      </c>
      <c r="B14" s="3">
        <f>LN('Historical Data'!B15/'Historical Data'!B14)</f>
        <v>-6.8965054179666044E-2</v>
      </c>
      <c r="C14" s="3">
        <f>LN('Historical Data'!C15/'Historical Data'!C14)</f>
        <v>-5.5003405330353652E-2</v>
      </c>
      <c r="D14" s="3">
        <f>LN('Historical Data'!D15/'Historical Data'!D14)</f>
        <v>-2.5007806701301198E-2</v>
      </c>
      <c r="E14" s="3">
        <f>LN('Historical Data'!E15/'Historical Data'!E14)</f>
        <v>-7.922638689409002E-2</v>
      </c>
      <c r="F14" s="3">
        <f>LN('Historical Data'!F15/'Historical Data'!F14)</f>
        <v>4.17908674946702E-3</v>
      </c>
      <c r="G14" s="3">
        <f>LN('Historical Data'!G15/'Historical Data'!G14)</f>
        <v>-0.1113882238630215</v>
      </c>
      <c r="H14" s="3">
        <f>LN('Historical Data'!H15/'Historical Data'!H14)</f>
        <v>-6.6493567831703501E-2</v>
      </c>
      <c r="I14" s="3">
        <f>LN('Historical Data'!I15/'Historical Data'!I14)</f>
        <v>-7.7308267391856145E-2</v>
      </c>
      <c r="J14" s="3">
        <f>LN('Historical Data'!J15/'Historical Data'!J14)</f>
        <v>-2.2694728325321111E-2</v>
      </c>
      <c r="K14" s="3">
        <f>LN('Historical Data'!K15/'Historical Data'!K14)</f>
        <v>5.2632451956010698E-2</v>
      </c>
    </row>
    <row r="15" spans="1:11" x14ac:dyDescent="0.35">
      <c r="A15" s="105">
        <v>44440</v>
      </c>
      <c r="B15" s="3">
        <f>LN('Historical Data'!B16/'Historical Data'!B15)</f>
        <v>5.7001470138716995E-2</v>
      </c>
      <c r="C15" s="3">
        <f>LN('Historical Data'!C16/'Historical Data'!C15)</f>
        <v>2.6254724346159528E-2</v>
      </c>
      <c r="D15" s="3">
        <f>LN('Historical Data'!D16/'Historical Data'!D15)</f>
        <v>9.9320429971675547E-2</v>
      </c>
      <c r="E15" s="3">
        <f>LN('Historical Data'!E16/'Historical Data'!E15)</f>
        <v>0.10210432347288416</v>
      </c>
      <c r="F15" s="3">
        <f>LN('Historical Data'!F16/'Historical Data'!F15)</f>
        <v>-3.5601216467986328E-2</v>
      </c>
      <c r="G15" s="3">
        <f>LN('Historical Data'!G16/'Historical Data'!G15)</f>
        <v>-4.7734188256524895E-2</v>
      </c>
      <c r="H15" s="3">
        <f>LN('Historical Data'!H16/'Historical Data'!H15)</f>
        <v>0.16236607270455952</v>
      </c>
      <c r="I15" s="3">
        <f>LN('Historical Data'!I16/'Historical Data'!I15)</f>
        <v>0.21039577698307099</v>
      </c>
      <c r="J15" s="3">
        <f>LN('Historical Data'!J16/'Historical Data'!J15)</f>
        <v>9.6321806436104412E-2</v>
      </c>
      <c r="K15" s="3">
        <f>LN('Historical Data'!K16/'Historical Data'!K15)</f>
        <v>0.3622302672020109</v>
      </c>
    </row>
    <row r="16" spans="1:11" x14ac:dyDescent="0.35">
      <c r="A16" s="105">
        <v>44470</v>
      </c>
      <c r="B16" s="3">
        <f>LN('Historical Data'!B17/'Historical Data'!B16)</f>
        <v>9.8460955607378053E-2</v>
      </c>
      <c r="C16" s="3">
        <f>LN('Historical Data'!C17/'Historical Data'!C16)</f>
        <v>3.9147378269960106E-2</v>
      </c>
      <c r="D16" s="3">
        <f>LN('Historical Data'!D17/'Historical Data'!D16)</f>
        <v>4.0563924813395019E-2</v>
      </c>
      <c r="E16" s="3">
        <f>LN('Historical Data'!E17/'Historical Data'!E16)</f>
        <v>-4.2418188091024829E-2</v>
      </c>
      <c r="F16" s="3">
        <f>LN('Historical Data'!F17/'Historical Data'!F16)</f>
        <v>-6.2100155196028253E-2</v>
      </c>
      <c r="G16" s="3">
        <f>LN('Historical Data'!G17/'Historical Data'!G16)</f>
        <v>2.7463314136459156E-3</v>
      </c>
      <c r="H16" s="3">
        <f>LN('Historical Data'!H17/'Historical Data'!H16)</f>
        <v>-3.1106350284684043E-3</v>
      </c>
      <c r="I16" s="3">
        <f>LN('Historical Data'!I17/'Historical Data'!I16)</f>
        <v>0.2453387025273624</v>
      </c>
      <c r="J16" s="3">
        <f>LN('Historical Data'!J17/'Historical Data'!J16)</f>
        <v>-5.2251911469623366E-2</v>
      </c>
      <c r="K16" s="3">
        <f>LN('Historical Data'!K17/'Historical Data'!K16)</f>
        <v>2.7238043664758075E-2</v>
      </c>
    </row>
    <row r="17" spans="1:11" x14ac:dyDescent="0.35">
      <c r="A17" s="105">
        <v>44501</v>
      </c>
      <c r="B17" s="3">
        <f>LN('Historical Data'!B18/'Historical Data'!B17)</f>
        <v>7.3061758985275643E-2</v>
      </c>
      <c r="C17" s="3">
        <f>LN('Historical Data'!C18/'Historical Data'!C17)</f>
        <v>-5.0506172305566407E-2</v>
      </c>
      <c r="D17" s="3">
        <f>LN('Historical Data'!D18/'Historical Data'!D17)</f>
        <v>0.18381658583107474</v>
      </c>
      <c r="E17" s="3">
        <f>LN('Historical Data'!E18/'Historical Data'!E17)</f>
        <v>2.0607832249870051E-2</v>
      </c>
      <c r="F17" s="3">
        <f>LN('Historical Data'!F18/'Historical Data'!F17)</f>
        <v>0.13189484961998335</v>
      </c>
      <c r="G17" s="3">
        <f>LN('Historical Data'!G18/'Historical Data'!G17)</f>
        <v>3.5990175831318451E-2</v>
      </c>
      <c r="H17" s="3">
        <f>LN('Historical Data'!H18/'Historical Data'!H17)</f>
        <v>1.9012102531187427E-2</v>
      </c>
      <c r="I17" s="3">
        <f>LN('Historical Data'!I18/'Historical Data'!I17)</f>
        <v>-0.10527210264327075</v>
      </c>
      <c r="J17" s="3">
        <f>LN('Historical Data'!J18/'Historical Data'!J17)</f>
        <v>-3.9679423272616303E-2</v>
      </c>
      <c r="K17" s="3">
        <f>LN('Historical Data'!K18/'Historical Data'!K17)</f>
        <v>-7.9968546413117417E-2</v>
      </c>
    </row>
    <row r="18" spans="1:11" x14ac:dyDescent="0.35">
      <c r="A18" s="105">
        <v>44531</v>
      </c>
      <c r="B18" s="3">
        <f>LN('Historical Data'!B19/'Historical Data'!B18)</f>
        <v>-1.5837294933547477E-2</v>
      </c>
      <c r="C18" s="3">
        <f>LN('Historical Data'!C19/'Historical Data'!C18)</f>
        <v>-0.10850985334928992</v>
      </c>
      <c r="D18" s="3">
        <f>LN('Historical Data'!D19/'Historical Data'!D18)</f>
        <v>-0.12091190082560552</v>
      </c>
      <c r="E18" s="3">
        <f>LN('Historical Data'!E19/'Historical Data'!E18)</f>
        <v>-6.8192164233039532E-2</v>
      </c>
      <c r="F18" s="3">
        <f>LN('Historical Data'!F19/'Historical Data'!F18)</f>
        <v>7.2608056606907986E-2</v>
      </c>
      <c r="G18" s="3">
        <f>LN('Historical Data'!G19/'Historical Data'!G18)</f>
        <v>-7.1118675641461016E-2</v>
      </c>
      <c r="H18" s="3">
        <f>LN('Historical Data'!H19/'Historical Data'!H18)</f>
        <v>-7.8334669673592025E-2</v>
      </c>
      <c r="I18" s="3">
        <f>LN('Historical Data'!I19/'Historical Data'!I18)</f>
        <v>-0.18314486686167322</v>
      </c>
      <c r="J18" s="3">
        <f>LN('Historical Data'!J19/'Historical Data'!J18)</f>
        <v>-7.189642922405666E-2</v>
      </c>
      <c r="K18" s="3">
        <f>LN('Historical Data'!K19/'Historical Data'!K18)</f>
        <v>-0.12059741643178999</v>
      </c>
    </row>
    <row r="19" spans="1:11" x14ac:dyDescent="0.35">
      <c r="A19" s="105">
        <v>44562</v>
      </c>
      <c r="B19" s="3">
        <f>LN('Historical Data'!B20/'Historical Data'!B19)</f>
        <v>-5.6855613677537581E-2</v>
      </c>
      <c r="C19" s="3">
        <f>LN('Historical Data'!C20/'Historical Data'!C19)</f>
        <v>2.6322995467381691E-2</v>
      </c>
      <c r="D19" s="3">
        <f>LN('Historical Data'!D20/'Historical Data'!D19)</f>
        <v>2.6592592652367082E-3</v>
      </c>
      <c r="E19" s="3">
        <f>LN('Historical Data'!E20/'Historical Data'!E19)</f>
        <v>-1.8234057890591827E-3</v>
      </c>
      <c r="F19" s="3">
        <f>LN('Historical Data'!F20/'Historical Data'!F19)</f>
        <v>-6.7130806204904803E-2</v>
      </c>
      <c r="G19" s="3">
        <f>LN('Historical Data'!G20/'Historical Data'!G19)</f>
        <v>-0.39503344607035762</v>
      </c>
      <c r="H19" s="3">
        <f>LN('Historical Data'!H20/'Historical Data'!H19)</f>
        <v>-3.9987577775616144E-2</v>
      </c>
      <c r="I19" s="3">
        <f>LN('Historical Data'!I20/'Historical Data'!I19)</f>
        <v>-4.1333224621533703E-3</v>
      </c>
      <c r="J19" s="3">
        <f>LN('Historical Data'!J20/'Historical Data'!J19)</f>
        <v>-6.2376295699695876E-2</v>
      </c>
      <c r="K19" s="3">
        <f>LN('Historical Data'!K20/'Historical Data'!K19)</f>
        <v>-7.3397184006749369E-2</v>
      </c>
    </row>
    <row r="20" spans="1:11" x14ac:dyDescent="0.35">
      <c r="A20" s="105">
        <v>44593</v>
      </c>
      <c r="B20" s="3">
        <f>LN('Historical Data'!B21/'Historical Data'!B20)</f>
        <v>5.7156114524264397E-2</v>
      </c>
      <c r="C20" s="3">
        <f>LN('Historical Data'!C21/'Historical Data'!C20)</f>
        <v>5.9623956986477045E-2</v>
      </c>
      <c r="D20" s="3">
        <f>LN('Historical Data'!D21/'Historical Data'!D20)</f>
        <v>6.9437527484066175E-2</v>
      </c>
      <c r="E20" s="3">
        <f>LN('Historical Data'!E21/'Historical Data'!E20)</f>
        <v>2.9262303250881722E-2</v>
      </c>
      <c r="F20" s="3">
        <f>LN('Historical Data'!F21/'Historical Data'!F20)</f>
        <v>-9.5796486753798316E-3</v>
      </c>
      <c r="G20" s="3">
        <f>LN('Historical Data'!G21/'Historical Data'!G20)</f>
        <v>5.2297476849600712E-2</v>
      </c>
      <c r="H20" s="3">
        <f>LN('Historical Data'!H21/'Historical Data'!H20)</f>
        <v>3.3430312534926232E-2</v>
      </c>
      <c r="I20" s="3">
        <f>LN('Historical Data'!I21/'Historical Data'!I20)</f>
        <v>0.11240546843510196</v>
      </c>
      <c r="J20" s="3">
        <f>LN('Historical Data'!J21/'Historical Data'!J20)</f>
        <v>8.5244004014917454E-2</v>
      </c>
      <c r="K20" s="3">
        <f>LN('Historical Data'!K21/'Historical Data'!K20)</f>
        <v>0.21350439756243444</v>
      </c>
    </row>
    <row r="21" spans="1:11" x14ac:dyDescent="0.35">
      <c r="A21" s="105">
        <v>44621</v>
      </c>
      <c r="B21" s="3">
        <f>LN('Historical Data'!B22/'Historical Data'!B21)</f>
        <v>-0.10217803212979519</v>
      </c>
      <c r="C21" s="3">
        <f>LN('Historical Data'!C22/'Historical Data'!C21)</f>
        <v>-0.2711857092933817</v>
      </c>
      <c r="D21" s="3">
        <f>LN('Historical Data'!D22/'Historical Data'!D21)</f>
        <v>-0.12060405827973424</v>
      </c>
      <c r="E21" s="3">
        <f>LN('Historical Data'!E22/'Historical Data'!E21)</f>
        <v>-0.19780056081010342</v>
      </c>
      <c r="F21" s="3">
        <f>LN('Historical Data'!F22/'Historical Data'!F21)</f>
        <v>1.6649495676854788E-2</v>
      </c>
      <c r="G21" s="3">
        <f>LN('Historical Data'!G22/'Historical Data'!G21)</f>
        <v>-0.10363318113838879</v>
      </c>
      <c r="H21" s="3">
        <f>LN('Historical Data'!H22/'Historical Data'!H21)</f>
        <v>-0.10521257226363716</v>
      </c>
      <c r="I21" s="3">
        <f>LN('Historical Data'!I22/'Historical Data'!I21)</f>
        <v>-0.38589506101342907</v>
      </c>
      <c r="J21" s="3">
        <f>LN('Historical Data'!J22/'Historical Data'!J21)</f>
        <v>-0.11965823131331957</v>
      </c>
      <c r="K21" s="3">
        <f>LN('Historical Data'!K22/'Historical Data'!K21)</f>
        <v>-0.21312534640563197</v>
      </c>
    </row>
    <row r="22" spans="1:11" x14ac:dyDescent="0.35">
      <c r="A22" s="105">
        <v>44652</v>
      </c>
      <c r="B22" s="3">
        <f>LN('Historical Data'!B23/'Historical Data'!B22)</f>
        <v>-5.7505126562053047E-2</v>
      </c>
      <c r="C22" s="3">
        <f>LN('Historical Data'!C23/'Historical Data'!C22)</f>
        <v>-3.3313100052673725E-2</v>
      </c>
      <c r="D22" s="3">
        <f>LN('Historical Data'!D23/'Historical Data'!D22)</f>
        <v>4.5384062012898657E-2</v>
      </c>
      <c r="E22" s="3">
        <f>LN('Historical Data'!E23/'Historical Data'!E22)</f>
        <v>-3.0497918789332262E-3</v>
      </c>
      <c r="F22" s="3">
        <f>LN('Historical Data'!F23/'Historical Data'!F22)</f>
        <v>-1.3892153854590099E-2</v>
      </c>
      <c r="G22" s="3">
        <f>LN('Historical Data'!G23/'Historical Data'!G22)</f>
        <v>-3.4663574879649335E-2</v>
      </c>
      <c r="H22" s="3">
        <f>LN('Historical Data'!H23/'Historical Data'!H22)</f>
        <v>-2.0568986921288678E-2</v>
      </c>
      <c r="I22" s="3">
        <f>LN('Historical Data'!I23/'Historical Data'!I22)</f>
        <v>6.7172094117784334E-3</v>
      </c>
      <c r="J22" s="3">
        <f>LN('Historical Data'!J23/'Historical Data'!J22)</f>
        <v>-1.6465328514610481E-2</v>
      </c>
      <c r="K22" s="3">
        <f>LN('Historical Data'!K23/'Historical Data'!K22)</f>
        <v>-0.13834007582724359</v>
      </c>
    </row>
    <row r="23" spans="1:11" x14ac:dyDescent="0.35">
      <c r="A23" s="105">
        <v>44682</v>
      </c>
      <c r="B23" s="3">
        <f>LN('Historical Data'!B24/'Historical Data'!B23)</f>
        <v>-8.3468444785490536E-2</v>
      </c>
      <c r="C23" s="3">
        <f>LN('Historical Data'!C24/'Historical Data'!C23)</f>
        <v>-0.12381778758632632</v>
      </c>
      <c r="D23" s="3">
        <f>LN('Historical Data'!D24/'Historical Data'!D23)</f>
        <v>-0.17743479482594163</v>
      </c>
      <c r="E23" s="3">
        <f>LN('Historical Data'!E24/'Historical Data'!E23)</f>
        <v>-4.3100820499334058E-2</v>
      </c>
      <c r="F23" s="3">
        <f>LN('Historical Data'!F24/'Historical Data'!F23)</f>
        <v>-0.12607488295849675</v>
      </c>
      <c r="G23" s="3">
        <f>LN('Historical Data'!G24/'Historical Data'!G23)</f>
        <v>-0.18304510971973292</v>
      </c>
      <c r="H23" s="3">
        <f>LN('Historical Data'!H24/'Historical Data'!H23)</f>
        <v>-5.458339527536045E-2</v>
      </c>
      <c r="I23" s="3">
        <f>LN('Historical Data'!I24/'Historical Data'!I23)</f>
        <v>-0.20843118844391761</v>
      </c>
      <c r="J23" s="3">
        <f>LN('Historical Data'!J24/'Historical Data'!J23)</f>
        <v>-2.891788923359084E-2</v>
      </c>
      <c r="K23" s="3">
        <f>LN('Historical Data'!K24/'Historical Data'!K23)</f>
        <v>-0.11865714504339087</v>
      </c>
    </row>
    <row r="24" spans="1:11" x14ac:dyDescent="0.35">
      <c r="A24" s="105">
        <v>44713</v>
      </c>
      <c r="B24" s="3">
        <f>LN('Historical Data'!B25/'Historical Data'!B24)</f>
        <v>0.17280443117840452</v>
      </c>
      <c r="C24" s="3">
        <f>LN('Historical Data'!C25/'Historical Data'!C24)</f>
        <v>0.23948607313056541</v>
      </c>
      <c r="D24" s="3">
        <f>LN('Historical Data'!D25/'Historical Data'!D24)</f>
        <v>0.10560215586070665</v>
      </c>
      <c r="E24" s="3">
        <f>LN('Historical Data'!E25/'Historical Data'!E24)</f>
        <v>6.5336601353735507E-2</v>
      </c>
      <c r="F24" s="3">
        <f>LN('Historical Data'!F25/'Historical Data'!F24)</f>
        <v>0.11460866362309634</v>
      </c>
      <c r="G24" s="3">
        <f>LN('Historical Data'!G25/'Historical Data'!G24)</f>
        <v>-1.3422851689388463E-2</v>
      </c>
      <c r="H24" s="3">
        <f>LN('Historical Data'!H25/'Historical Data'!H24)</f>
        <v>8.9014844876514523E-2</v>
      </c>
      <c r="I24" s="3">
        <f>LN('Historical Data'!I25/'Historical Data'!I24)</f>
        <v>0.18100392958390127</v>
      </c>
      <c r="J24" s="3">
        <f>LN('Historical Data'!J25/'Historical Data'!J24)</f>
        <v>0.10801874932826568</v>
      </c>
      <c r="K24" s="3">
        <f>LN('Historical Data'!K25/'Historical Data'!K24)</f>
        <v>0.28048029266089147</v>
      </c>
    </row>
    <row r="25" spans="1:11" x14ac:dyDescent="0.35">
      <c r="A25" s="105">
        <v>44743</v>
      </c>
      <c r="B25" s="3">
        <f>LN('Historical Data'!B26/'Historical Data'!B25)</f>
        <v>-3.3093631986848525E-2</v>
      </c>
      <c r="C25" s="3">
        <f>LN('Historical Data'!C26/'Historical Data'!C25)</f>
        <v>-6.2529918513378344E-2</v>
      </c>
      <c r="D25" s="3">
        <f>LN('Historical Data'!D26/'Historical Data'!D25)</f>
        <v>-7.0336943095026139E-2</v>
      </c>
      <c r="E25" s="3">
        <f>LN('Historical Data'!E26/'Historical Data'!E25)</f>
        <v>-7.2178687191277305E-2</v>
      </c>
      <c r="F25" s="3">
        <f>LN('Historical Data'!F26/'Historical Data'!F25)</f>
        <v>-8.5287674235194649E-2</v>
      </c>
      <c r="G25" s="3">
        <f>LN('Historical Data'!G26/'Historical Data'!G25)</f>
        <v>2.3787517090643244E-2</v>
      </c>
      <c r="H25" s="3">
        <f>LN('Historical Data'!H26/'Historical Data'!H25)</f>
        <v>-7.1109623344982928E-2</v>
      </c>
      <c r="I25" s="3">
        <f>LN('Historical Data'!I26/'Historical Data'!I25)</f>
        <v>-0.18508941651238625</v>
      </c>
      <c r="J25" s="3">
        <f>LN('Historical Data'!J26/'Historical Data'!J25)</f>
        <v>-4.4102667888266611E-2</v>
      </c>
      <c r="K25" s="3">
        <f>LN('Historical Data'!K26/'Historical Data'!K25)</f>
        <v>-7.5250238861184759E-2</v>
      </c>
    </row>
    <row r="26" spans="1:11" x14ac:dyDescent="0.35">
      <c r="A26" s="105">
        <v>44774</v>
      </c>
      <c r="B26" s="3">
        <f>LN('Historical Data'!B27/'Historical Data'!B26)</f>
        <v>-0.1275558516814467</v>
      </c>
      <c r="C26" s="3">
        <f>LN('Historical Data'!C27/'Historical Data'!C26)</f>
        <v>-0.11498660223829471</v>
      </c>
      <c r="D26" s="3">
        <f>LN('Historical Data'!D27/'Historical Data'!D26)</f>
        <v>-0.11697926586710171</v>
      </c>
      <c r="E26" s="3">
        <f>LN('Historical Data'!E27/'Historical Data'!E26)</f>
        <v>-0.12347042987136843</v>
      </c>
      <c r="F26" s="3">
        <f>LN('Historical Data'!F27/'Historical Data'!F26)</f>
        <v>-0.13171390676681982</v>
      </c>
      <c r="G26" s="3">
        <f>LN('Historical Data'!G27/'Historical Data'!G26)</f>
        <v>-0.18302123219561156</v>
      </c>
      <c r="H26" s="3">
        <f>LN('Historical Data'!H27/'Historical Data'!H26)</f>
        <v>-0.11358977363667903</v>
      </c>
      <c r="I26" s="3">
        <f>LN('Historical Data'!I27/'Historical Data'!I26)</f>
        <v>-0.21787411148798203</v>
      </c>
      <c r="J26" s="3">
        <f>LN('Historical Data'!J27/'Historical Data'!J26)</f>
        <v>-0.19406934761028147</v>
      </c>
      <c r="K26" s="3">
        <f>LN('Historical Data'!K27/'Historical Data'!K26)</f>
        <v>-3.8314045457392337E-2</v>
      </c>
    </row>
    <row r="27" spans="1:11" x14ac:dyDescent="0.35">
      <c r="A27" s="105">
        <v>44805</v>
      </c>
      <c r="B27" s="3">
        <f>LN('Historical Data'!B28/'Historical Data'!B27)</f>
        <v>0.10395492240185637</v>
      </c>
      <c r="C27" s="3">
        <f>LN('Historical Data'!C28/'Historical Data'!C27)</f>
        <v>-9.811055738101615E-2</v>
      </c>
      <c r="D27" s="3">
        <f>LN('Historical Data'!D28/'Historical Data'!D27)</f>
        <v>6.5490892291273209E-2</v>
      </c>
      <c r="E27" s="3">
        <f>LN('Historical Data'!E28/'Historical Data'!E27)</f>
        <v>-1.198992809953024E-2</v>
      </c>
      <c r="F27" s="3">
        <f>LN('Historical Data'!F28/'Historical Data'!F27)</f>
        <v>0.14339138286779468</v>
      </c>
      <c r="G27" s="3">
        <f>LN('Historical Data'!G28/'Historical Data'!G27)</f>
        <v>-0.37598068900955778</v>
      </c>
      <c r="H27" s="3">
        <f>LN('Historical Data'!H28/'Historical Data'!H27)</f>
        <v>-3.3120129644825707E-3</v>
      </c>
      <c r="I27" s="3">
        <f>LN('Historical Data'!I28/'Historical Data'!I27)</f>
        <v>0.1063409907596171</v>
      </c>
      <c r="J27" s="3">
        <f>LN('Historical Data'!J28/'Historical Data'!J27)</f>
        <v>0.24558507176347361</v>
      </c>
      <c r="K27" s="3">
        <f>LN('Historical Data'!K28/'Historical Data'!K27)</f>
        <v>-0.15334673038252214</v>
      </c>
    </row>
    <row r="28" spans="1:11" x14ac:dyDescent="0.35">
      <c r="A28" s="105">
        <v>44835</v>
      </c>
      <c r="B28" s="3">
        <f>LN('Historical Data'!B29/'Historical Data'!B28)</f>
        <v>-3.5242178309030113E-2</v>
      </c>
      <c r="C28" s="3">
        <f>LN('Historical Data'!C29/'Historical Data'!C28)</f>
        <v>-5.93198310989776E-2</v>
      </c>
      <c r="D28" s="3">
        <f>LN('Historical Data'!D29/'Historical Data'!D28)</f>
        <v>0.15880119806873177</v>
      </c>
      <c r="E28" s="3">
        <f>LN('Historical Data'!E29/'Historical Data'!E28)</f>
        <v>6.6315418215635913E-2</v>
      </c>
      <c r="F28" s="3">
        <f>LN('Historical Data'!F29/'Historical Data'!F28)</f>
        <v>8.410370277991315E-2</v>
      </c>
      <c r="G28" s="3">
        <f>LN('Historical Data'!G29/'Historical Data'!G28)</f>
        <v>0.23721314485123565</v>
      </c>
      <c r="H28" s="3">
        <f>LN('Historical Data'!H29/'Historical Data'!H28)</f>
        <v>9.4514905409019939E-2</v>
      </c>
      <c r="I28" s="3">
        <f>LN('Historical Data'!I29/'Historical Data'!I28)</f>
        <v>0.22620632995601059</v>
      </c>
      <c r="J28" s="3">
        <f>LN('Historical Data'!J29/'Historical Data'!J28)</f>
        <v>6.672347267525193E-2</v>
      </c>
      <c r="K28" s="3">
        <f>LN('Historical Data'!K29/'Historical Data'!K28)</f>
        <v>-0.15586613473341651</v>
      </c>
    </row>
    <row r="29" spans="1:11" x14ac:dyDescent="0.35">
      <c r="A29" s="105">
        <v>44866</v>
      </c>
      <c r="B29" s="3">
        <f>LN('Historical Data'!B30/'Historical Data'!B29)</f>
        <v>-0.12876210972506572</v>
      </c>
      <c r="C29" s="3">
        <f>LN('Historical Data'!C30/'Historical Data'!C29)</f>
        <v>-0.13914063138903329</v>
      </c>
      <c r="D29" s="3">
        <f>LN('Historical Data'!D30/'Historical Data'!D29)</f>
        <v>1.4592705926184399E-2</v>
      </c>
      <c r="E29" s="3">
        <f>LN('Historical Data'!E30/'Historical Data'!E29)</f>
        <v>-0.13507409946561835</v>
      </c>
      <c r="F29" s="3">
        <f>LN('Historical Data'!F30/'Historical Data'!F29)</f>
        <v>-2.4627335741839319E-2</v>
      </c>
      <c r="G29" s="3">
        <f>LN('Historical Data'!G30/'Historical Data'!G29)</f>
        <v>1.878955147272178E-2</v>
      </c>
      <c r="H29" s="3">
        <f>LN('Historical Data'!H30/'Historical Data'!H29)</f>
        <v>-5.910958449814499E-2</v>
      </c>
      <c r="I29" s="3">
        <f>LN('Historical Data'!I30/'Historical Data'!I29)</f>
        <v>-0.14643755360960392</v>
      </c>
      <c r="J29" s="3">
        <f>LN('Historical Data'!J30/'Historical Data'!J29)</f>
        <v>-1.5658492124200833E-2</v>
      </c>
      <c r="K29" s="3">
        <f>LN('Historical Data'!K30/'Historical Data'!K29)</f>
        <v>-0.45781321211925669</v>
      </c>
    </row>
    <row r="30" spans="1:11" x14ac:dyDescent="0.35">
      <c r="A30" s="105">
        <v>44896</v>
      </c>
      <c r="B30" s="3">
        <f>LN('Historical Data'!B31/'Historical Data'!B30)</f>
        <v>0.1048294004991016</v>
      </c>
      <c r="C30" s="3">
        <f>LN('Historical Data'!C31/'Historical Data'!C30)</f>
        <v>0.20517352948466397</v>
      </c>
      <c r="D30" s="3">
        <f>LN('Historical Data'!D31/'Historical Data'!D30)</f>
        <v>5.3556273671406994E-2</v>
      </c>
      <c r="E30" s="3">
        <f>LN('Historical Data'!E31/'Historical Data'!E30)</f>
        <v>0.11355520374608775</v>
      </c>
      <c r="F30" s="3">
        <f>LN('Historical Data'!F31/'Historical Data'!F30)</f>
        <v>6.3696822543363896E-2</v>
      </c>
      <c r="G30" s="3">
        <f>LN('Historical Data'!G31/'Historical Data'!G30)</f>
        <v>0.21342326907138692</v>
      </c>
      <c r="H30" s="3">
        <f>LN('Historical Data'!H31/'Historical Data'!H30)</f>
        <v>3.2773546457340319E-2</v>
      </c>
      <c r="I30" s="3">
        <f>LN('Historical Data'!I31/'Historical Data'!I30)</f>
        <v>0.29033006818835605</v>
      </c>
      <c r="J30" s="3">
        <f>LN('Historical Data'!J31/'Historical Data'!J30)</f>
        <v>7.9006922596324664E-2</v>
      </c>
      <c r="K30" s="3">
        <f>LN('Historical Data'!K31/'Historical Data'!K30)</f>
        <v>0.34091576264400142</v>
      </c>
    </row>
    <row r="31" spans="1:11" x14ac:dyDescent="0.35">
      <c r="A31" s="105">
        <v>44927</v>
      </c>
      <c r="B31" s="3">
        <f>LN('Historical Data'!B32/'Historical Data'!B31)</f>
        <v>2.1393283574072736E-2</v>
      </c>
      <c r="C31" s="3">
        <f>LN('Historical Data'!C32/'Historical Data'!C31)</f>
        <v>-9.0251726109312633E-2</v>
      </c>
      <c r="D31" s="3">
        <f>LN('Historical Data'!D32/'Historical Data'!D31)</f>
        <v>1.5738470108691234E-2</v>
      </c>
      <c r="E31" s="3">
        <f>LN('Historical Data'!E32/'Historical Data'!E31)</f>
        <v>-9.3026072209416985E-2</v>
      </c>
      <c r="F31" s="3">
        <f>LN('Historical Data'!F32/'Historical Data'!F31)</f>
        <v>-4.0567226968867422E-2</v>
      </c>
      <c r="G31" s="3">
        <f>LN('Historical Data'!G32/'Historical Data'!G31)</f>
        <v>0.16069828019144647</v>
      </c>
      <c r="H31" s="3">
        <f>LN('Historical Data'!H32/'Historical Data'!H31)</f>
        <v>6.4761117897062688E-3</v>
      </c>
      <c r="I31" s="3">
        <f>LN('Historical Data'!I32/'Historical Data'!I31)</f>
        <v>0.17253134711290119</v>
      </c>
      <c r="J31" s="3">
        <f>LN('Historical Data'!J32/'Historical Data'!J31)</f>
        <v>-8.3125520289116569E-3</v>
      </c>
      <c r="K31" s="3">
        <f>LN('Historical Data'!K32/'Historical Data'!K31)</f>
        <v>0.17190494706148407</v>
      </c>
    </row>
    <row r="32" spans="1:11" x14ac:dyDescent="0.35">
      <c r="A32" s="105">
        <v>44958</v>
      </c>
      <c r="B32" s="3">
        <f>LN('Historical Data'!B33/'Historical Data'!B32)</f>
        <v>0.11364681026400918</v>
      </c>
      <c r="C32" s="3">
        <f>LN('Historical Data'!C33/'Historical Data'!C32)</f>
        <v>9.1801963799877331E-2</v>
      </c>
      <c r="D32" s="3">
        <f>LN('Historical Data'!D33/'Historical Data'!D32)</f>
        <v>7.6504017123988563E-2</v>
      </c>
      <c r="E32" s="3">
        <f>LN('Historical Data'!E33/'Historical Data'!E32)</f>
        <v>0.14131550998274967</v>
      </c>
      <c r="F32" s="3">
        <f>LN('Historical Data'!F33/'Historical Data'!F32)</f>
        <v>2.2597182931267858E-2</v>
      </c>
      <c r="G32" s="3">
        <f>LN('Historical Data'!G33/'Historical Data'!G32)</f>
        <v>0.19186019580152111</v>
      </c>
      <c r="H32" s="3">
        <f>LN('Historical Data'!H33/'Historical Data'!H32)</f>
        <v>0.14736474026643281</v>
      </c>
      <c r="I32" s="3">
        <f>LN('Historical Data'!I33/'Historical Data'!I32)</f>
        <v>0.17936694500337019</v>
      </c>
      <c r="J32" s="3">
        <f>LN('Historical Data'!J33/'Historical Data'!J32)</f>
        <v>6.1243763453708251E-2</v>
      </c>
      <c r="K32" s="3">
        <f>LN('Historical Data'!K33/'Historical Data'!K32)</f>
        <v>8.4711400392992759E-3</v>
      </c>
    </row>
    <row r="33" spans="1:11" x14ac:dyDescent="0.35">
      <c r="A33" s="105">
        <v>44986</v>
      </c>
      <c r="B33" s="3">
        <f>LN('Historical Data'!B34/'Historical Data'!B33)</f>
        <v>2.8574955117446083E-2</v>
      </c>
      <c r="C33" s="3">
        <f>LN('Historical Data'!C34/'Historical Data'!C33)</f>
        <v>2.0696340906241388E-2</v>
      </c>
      <c r="D33" s="3">
        <f>LN('Historical Data'!D34/'Historical Data'!D33)</f>
        <v>-1.6550935615806853E-2</v>
      </c>
      <c r="E33" s="3">
        <f>LN('Historical Data'!E34/'Historical Data'!E33)</f>
        <v>3.4209310116949311E-2</v>
      </c>
      <c r="F33" s="3">
        <f>LN('Historical Data'!F34/'Historical Data'!F33)</f>
        <v>4.4718852210020713E-2</v>
      </c>
      <c r="G33" s="3">
        <f>LN('Historical Data'!G34/'Historical Data'!G33)</f>
        <v>0.12566853006121023</v>
      </c>
      <c r="H33" s="3">
        <f>LN('Historical Data'!H34/'Historical Data'!H33)</f>
        <v>6.3693048082205259E-2</v>
      </c>
      <c r="I33" s="3">
        <f>LN('Historical Data'!I34/'Historical Data'!I33)</f>
        <v>-8.3888705846998154E-4</v>
      </c>
      <c r="J33" s="3">
        <f>LN('Historical Data'!J34/'Historical Data'!J33)</f>
        <v>1.918619566135344E-2</v>
      </c>
      <c r="K33" s="3">
        <f>LN('Historical Data'!K34/'Historical Data'!K33)</f>
        <v>-0.23318366253994235</v>
      </c>
    </row>
    <row r="34" spans="1:11" x14ac:dyDescent="0.35">
      <c r="A34" s="105">
        <v>45017</v>
      </c>
      <c r="B34" s="3">
        <f>LN('Historical Data'!B35/'Historical Data'!B34)</f>
        <v>4.3646740654785743E-2</v>
      </c>
      <c r="C34" s="3">
        <f>LN('Historical Data'!C35/'Historical Data'!C34)</f>
        <v>0.13407652613647589</v>
      </c>
      <c r="D34" s="3">
        <f>LN('Historical Data'!D35/'Historical Data'!D34)</f>
        <v>0.25436365139247047</v>
      </c>
      <c r="E34" s="3">
        <f>LN('Historical Data'!E35/'Historical Data'!E34)</f>
        <v>0.13512620371174827</v>
      </c>
      <c r="F34" s="3">
        <f>LN('Historical Data'!F35/'Historical Data'!F34)</f>
        <v>-3.8730776145965803E-2</v>
      </c>
      <c r="G34" s="3">
        <f>LN('Historical Data'!G35/'Historical Data'!G34)</f>
        <v>9.6701274793306563E-2</v>
      </c>
      <c r="H34" s="3">
        <f>LN('Historical Data'!H35/'Historical Data'!H34)</f>
        <v>6.6507591530747201E-2</v>
      </c>
      <c r="I34" s="3">
        <f>LN('Historical Data'!I35/'Historical Data'!I34)</f>
        <v>0.3100084685063052</v>
      </c>
      <c r="J34" s="3">
        <f>LN('Historical Data'!J35/'Historical Data'!J34)</f>
        <v>0.11612684476047516</v>
      </c>
      <c r="K34" s="3">
        <f>LN('Historical Data'!K35/'Historical Data'!K34)</f>
        <v>0.21602191024051604</v>
      </c>
    </row>
    <row r="35" spans="1:11" x14ac:dyDescent="0.35">
      <c r="A35" s="105">
        <v>45047</v>
      </c>
      <c r="B35" s="3">
        <f>LN('Historical Data'!B36/'Historical Data'!B35)</f>
        <v>9.1525026546210059E-2</v>
      </c>
      <c r="C35" s="3">
        <f>LN('Historical Data'!C36/'Historical Data'!C35)</f>
        <v>7.7986420908101345E-2</v>
      </c>
      <c r="D35" s="3">
        <f>LN('Historical Data'!D36/'Historical Data'!D35)</f>
        <v>7.1022334495610254E-2</v>
      </c>
      <c r="E35" s="3">
        <f>LN('Historical Data'!E36/'Historical Data'!E35)</f>
        <v>-2.6138382374356787E-2</v>
      </c>
      <c r="F35" s="3">
        <f>LN('Historical Data'!F36/'Historical Data'!F35)</f>
        <v>7.4620678435673451E-2</v>
      </c>
      <c r="G35" s="3">
        <f>LN('Historical Data'!G36/'Historical Data'!G35)</f>
        <v>8.0739806170775252E-2</v>
      </c>
      <c r="H35" s="3">
        <f>LN('Historical Data'!H36/'Historical Data'!H35)</f>
        <v>3.8514280197809961E-2</v>
      </c>
      <c r="I35" s="3">
        <f>LN('Historical Data'!I36/'Historical Data'!I35)</f>
        <v>0.11162599260197191</v>
      </c>
      <c r="J35" s="3">
        <f>LN('Historical Data'!J36/'Historical Data'!J35)</f>
        <v>0.11700596412027556</v>
      </c>
      <c r="K35" s="3">
        <f>LN('Historical Data'!K36/'Historical Data'!K35)</f>
        <v>0.24968945791439814</v>
      </c>
    </row>
    <row r="36" spans="1:11" x14ac:dyDescent="0.35">
      <c r="A36" s="105">
        <v>45078</v>
      </c>
      <c r="B36" s="3">
        <f>LN('Historical Data'!B37/'Historical Data'!B36)</f>
        <v>1.2704269890204151E-2</v>
      </c>
      <c r="C36" s="3">
        <f>LN('Historical Data'!C37/'Historical Data'!C36)</f>
        <v>2.5149030317777449E-2</v>
      </c>
      <c r="D36" s="3">
        <f>LN('Historical Data'!D37/'Historical Data'!D36)</f>
        <v>4.0672273970770653E-2</v>
      </c>
      <c r="E36" s="3">
        <f>LN('Historical Data'!E37/'Historical Data'!E36)</f>
        <v>0.10325289755759523</v>
      </c>
      <c r="F36" s="3">
        <f>LN('Historical Data'!F37/'Historical Data'!F36)</f>
        <v>2.4886420305757144E-3</v>
      </c>
      <c r="G36" s="3">
        <f>LN('Historical Data'!G37/'Historical Data'!G36)</f>
        <v>0.10452397421839443</v>
      </c>
      <c r="H36" s="3">
        <f>LN('Historical Data'!H37/'Historical Data'!H36)</f>
        <v>-1.3659572284661716E-2</v>
      </c>
      <c r="I36" s="3">
        <f>LN('Historical Data'!I37/'Historical Data'!I36)</f>
        <v>9.9634252317349001E-2</v>
      </c>
      <c r="J36" s="3">
        <f>LN('Historical Data'!J37/'Historical Data'!J36)</f>
        <v>-1.5741179533297088E-2</v>
      </c>
      <c r="K36" s="3">
        <f>LN('Historical Data'!K37/'Historical Data'!K36)</f>
        <v>2.139159422964413E-2</v>
      </c>
    </row>
    <row r="37" spans="1:11" x14ac:dyDescent="0.35">
      <c r="A37" s="105">
        <v>45108</v>
      </c>
      <c r="B37" s="3">
        <f>LN('Historical Data'!B38/'Historical Data'!B37)</f>
        <v>-4.465762314938438E-2</v>
      </c>
      <c r="C37" s="3">
        <f>LN('Historical Data'!C38/'Historical Data'!C37)</f>
        <v>3.1877262012810242E-2</v>
      </c>
      <c r="D37" s="3">
        <f>LN('Historical Data'!D38/'Historical Data'!D37)</f>
        <v>2.6616364073018595E-2</v>
      </c>
      <c r="E37" s="3">
        <f>LN('Historical Data'!E38/'Historical Data'!E37)</f>
        <v>2.5662693421771608E-2</v>
      </c>
      <c r="F37" s="3">
        <f>LN('Historical Data'!F38/'Historical Data'!F37)</f>
        <v>4.695934602444031E-2</v>
      </c>
      <c r="G37" s="3">
        <f>LN('Historical Data'!G38/'Historical Data'!G37)</f>
        <v>-7.3948768964133396E-2</v>
      </c>
      <c r="H37" s="3">
        <f>LN('Historical Data'!H38/'Historical Data'!H37)</f>
        <v>-2.4591492348636026E-2</v>
      </c>
      <c r="I37" s="3">
        <f>LN('Historical Data'!I38/'Historical Data'!I37)</f>
        <v>5.4674179307856619E-2</v>
      </c>
      <c r="J37" s="3">
        <f>LN('Historical Data'!J38/'Historical Data'!J37)</f>
        <v>3.0102138591932014E-2</v>
      </c>
      <c r="K37" s="3">
        <f>LN('Historical Data'!K38/'Historical Data'!K37)</f>
        <v>-3.5588235471399533E-2</v>
      </c>
    </row>
    <row r="38" spans="1:11" x14ac:dyDescent="0.35">
      <c r="A38" s="105">
        <v>45139</v>
      </c>
      <c r="B38" s="3">
        <f>LN('Historical Data'!B39/'Historical Data'!B38)</f>
        <v>-9.1509863423703222E-2</v>
      </c>
      <c r="C38" s="3">
        <f>LN('Historical Data'!C39/'Historical Data'!C38)</f>
        <v>-8.2194624071487962E-2</v>
      </c>
      <c r="D38" s="3">
        <f>LN('Historical Data'!D39/'Historical Data'!D38)</f>
        <v>-0.10538582429865745</v>
      </c>
      <c r="E38" s="3">
        <f>LN('Historical Data'!E39/'Historical Data'!E38)</f>
        <v>-3.977660188458601E-2</v>
      </c>
      <c r="F38" s="3">
        <f>LN('Historical Data'!F39/'Historical Data'!F38)</f>
        <v>-4.1388584008433191E-2</v>
      </c>
      <c r="G38" s="3">
        <f>LN('Historical Data'!G39/'Historical Data'!G38)</f>
        <v>1.4494695303634371E-2</v>
      </c>
      <c r="H38" s="3">
        <f>LN('Historical Data'!H39/'Historical Data'!H38)</f>
        <v>-3.5215879626693258E-2</v>
      </c>
      <c r="I38" s="3">
        <f>LN('Historical Data'!I39/'Historical Data'!I38)</f>
        <v>-0.12630114911429197</v>
      </c>
      <c r="J38" s="3">
        <f>LN('Historical Data'!J39/'Historical Data'!J38)</f>
        <v>-0.12805238791942097</v>
      </c>
      <c r="K38" s="3">
        <f>LN('Historical Data'!K39/'Historical Data'!K38)</f>
        <v>-3.0929083487644692E-2</v>
      </c>
    </row>
    <row r="39" spans="1:11" x14ac:dyDescent="0.35">
      <c r="A39" s="105">
        <v>45170</v>
      </c>
      <c r="B39" s="3">
        <f>LN('Historical Data'!B40/'Historical Data'!B39)</f>
        <v>-2.5730615333689304E-3</v>
      </c>
      <c r="C39" s="3">
        <f>LN('Historical Data'!C40/'Historical Data'!C39)</f>
        <v>4.5894068870004315E-2</v>
      </c>
      <c r="D39" s="3">
        <f>LN('Historical Data'!D40/'Historical Data'!D39)</f>
        <v>1.8338872400862891E-2</v>
      </c>
      <c r="E39" s="3">
        <f>LN('Historical Data'!E40/'Historical Data'!E39)</f>
        <v>-5.3201071807852718E-2</v>
      </c>
      <c r="F39" s="3">
        <f>LN('Historical Data'!F40/'Historical Data'!F39)</f>
        <v>-5.0667569234192182E-2</v>
      </c>
      <c r="G39" s="3">
        <f>LN('Historical Data'!G40/'Historical Data'!G39)</f>
        <v>3.5242899079188043E-3</v>
      </c>
      <c r="H39" s="3">
        <f>LN('Historical Data'!H40/'Historical Data'!H39)</f>
        <v>6.8420410730397105E-2</v>
      </c>
      <c r="I39" s="3">
        <f>LN('Historical Data'!I40/'Historical Data'!I39)</f>
        <v>-6.4463866729323985E-2</v>
      </c>
      <c r="J39" s="3">
        <f>LN('Historical Data'!J40/'Historical Data'!J39)</f>
        <v>-2.407961914415124E-2</v>
      </c>
      <c r="K39" s="3">
        <f>LN('Historical Data'!K40/'Historical Data'!K39)</f>
        <v>-0.21983195972274922</v>
      </c>
    </row>
    <row r="40" spans="1:11" x14ac:dyDescent="0.35">
      <c r="A40" s="105">
        <v>45200</v>
      </c>
      <c r="B40" s="3">
        <f>LN('Historical Data'!B41/'Historical Data'!B40)</f>
        <v>0.10644292946628002</v>
      </c>
      <c r="C40" s="3">
        <f>LN('Historical Data'!C41/'Historical Data'!C40)</f>
        <v>9.3197279045957968E-2</v>
      </c>
      <c r="D40" s="3">
        <f>LN('Historical Data'!D41/'Historical Data'!D40)</f>
        <v>9.555118513669858E-2</v>
      </c>
      <c r="E40" s="3">
        <f>LN('Historical Data'!E41/'Historical Data'!E40)</f>
        <v>6.5882358232858734E-2</v>
      </c>
      <c r="F40" s="3">
        <f>LN('Historical Data'!F41/'Historical Data'!F40)</f>
        <v>9.6384505247690822E-2</v>
      </c>
      <c r="G40" s="3">
        <f>LN('Historical Data'!G41/'Historical Data'!G40)</f>
        <v>8.2412118939687987E-2</v>
      </c>
      <c r="H40" s="3">
        <f>LN('Historical Data'!H41/'Historical Data'!H40)</f>
        <v>0.11392750699485865</v>
      </c>
      <c r="I40" s="3">
        <f>LN('Historical Data'!I41/'Historical Data'!I40)</f>
        <v>0.13705016797976891</v>
      </c>
      <c r="J40" s="3">
        <f>LN('Historical Data'!J41/'Historical Data'!J40)</f>
        <v>0.12044678645848823</v>
      </c>
      <c r="K40" s="3">
        <f>LN('Historical Data'!K41/'Historical Data'!K40)</f>
        <v>0.17846362996560694</v>
      </c>
    </row>
    <row r="41" spans="1:11" x14ac:dyDescent="0.35">
      <c r="A41" s="105">
        <v>45231</v>
      </c>
      <c r="B41" s="3">
        <f>LN('Historical Data'!B42/'Historical Data'!B41)</f>
        <v>1.4807885558457926E-2</v>
      </c>
      <c r="C41" s="3">
        <f>LN('Historical Data'!C42/'Historical Data'!C41)</f>
        <v>3.9262835930652829E-2</v>
      </c>
      <c r="D41" s="3">
        <f>LN('Historical Data'!D42/'Historical Data'!D41)</f>
        <v>0.18714758378342786</v>
      </c>
      <c r="E41" s="3">
        <f>LN('Historical Data'!E42/'Historical Data'!E41)</f>
        <v>5.2616966541287453E-2</v>
      </c>
      <c r="F41" s="3">
        <f>LN('Historical Data'!F42/'Historical Data'!F41)</f>
        <v>3.0180422259170208E-2</v>
      </c>
      <c r="G41" s="3">
        <f>LN('Historical Data'!G42/'Historical Data'!G41)</f>
        <v>7.876502002976328E-2</v>
      </c>
      <c r="H41" s="3">
        <f>LN('Historical Data'!H42/'Historical Data'!H41)</f>
        <v>-5.5756156884544505E-3</v>
      </c>
      <c r="I41" s="3">
        <f>LN('Historical Data'!I42/'Historical Data'!I41)</f>
        <v>5.7175065231845734E-2</v>
      </c>
      <c r="J41" s="3">
        <f>LN('Historical Data'!J42/'Historical Data'!J41)</f>
        <v>-9.7351841942483308E-2</v>
      </c>
      <c r="K41" s="3">
        <f>LN('Historical Data'!K42/'Historical Data'!K41)</f>
        <v>3.439015826826522E-2</v>
      </c>
    </row>
    <row r="42" spans="1:11" x14ac:dyDescent="0.35">
      <c r="A42" s="105">
        <v>45261</v>
      </c>
      <c r="B42" s="3">
        <f>LN('Historical Data'!B43/'Historical Data'!B42)</f>
        <v>-4.3144957906549132E-2</v>
      </c>
      <c r="C42" s="3">
        <f>LN('Historical Data'!C43/'Historical Data'!C42)</f>
        <v>2.1228901674042767E-2</v>
      </c>
      <c r="D42" s="3">
        <f>LN('Historical Data'!D43/'Historical Data'!D42)</f>
        <v>6.0126842437214202E-2</v>
      </c>
      <c r="E42" s="3">
        <f>LN('Historical Data'!E43/'Historical Data'!E42)</f>
        <v>2.9301123803818375E-3</v>
      </c>
      <c r="F42" s="3">
        <f>LN('Historical Data'!F43/'Historical Data'!F42)</f>
        <v>5.1899228156258442E-2</v>
      </c>
      <c r="G42" s="3">
        <f>LN('Historical Data'!G43/'Historical Data'!G42)</f>
        <v>9.7321668426132601E-2</v>
      </c>
      <c r="H42" s="3">
        <f>LN('Historical Data'!H43/'Historical Data'!H42)</f>
        <v>5.5700700580903331E-2</v>
      </c>
      <c r="I42" s="3">
        <f>LN('Historical Data'!I43/'Historical Data'!I42)</f>
        <v>0.2171470858522099</v>
      </c>
      <c r="J42" s="3">
        <f>LN('Historical Data'!J43/'Historical Data'!J42)</f>
        <v>5.7769965221998926E-2</v>
      </c>
      <c r="K42" s="3">
        <f>LN('Historical Data'!K43/'Historical Data'!K42)</f>
        <v>-0.28270414165861452</v>
      </c>
    </row>
    <row r="43" spans="1:11" x14ac:dyDescent="0.35">
      <c r="A43" s="105">
        <v>45292</v>
      </c>
      <c r="B43" s="3">
        <f>LN('Historical Data'!B44/'Historical Data'!B43)</f>
        <v>-1.9992689868358709E-2</v>
      </c>
      <c r="C43" s="3">
        <f>LN('Historical Data'!C44/'Historical Data'!C43)</f>
        <v>0.1300782725134208</v>
      </c>
      <c r="D43" s="3">
        <f>LN('Historical Data'!D44/'Historical Data'!D43)</f>
        <v>9.7227178204067247E-2</v>
      </c>
      <c r="E43" s="3">
        <f>LN('Historical Data'!E44/'Historical Data'!E43)</f>
        <v>-1.1774499410360764E-2</v>
      </c>
      <c r="F43" s="3">
        <f>LN('Historical Data'!F44/'Historical Data'!F43)</f>
        <v>5.6849523171375725E-2</v>
      </c>
      <c r="G43" s="3">
        <f>LN('Historical Data'!G44/'Historical Data'!G43)</f>
        <v>0.22816509890920028</v>
      </c>
      <c r="H43" s="3">
        <f>LN('Historical Data'!H44/'Historical Data'!H43)</f>
        <v>3.959990358943765E-2</v>
      </c>
      <c r="I43" s="3">
        <f>LN('Historical Data'!I44/'Historical Data'!I43)</f>
        <v>0.25138848615801102</v>
      </c>
      <c r="J43" s="3">
        <f>LN('Historical Data'!J44/'Historical Data'!J43)</f>
        <v>3.6879190645804439E-3</v>
      </c>
      <c r="K43" s="3">
        <f>LN('Historical Data'!K44/'Historical Data'!K43)</f>
        <v>7.5015243730299289E-2</v>
      </c>
    </row>
    <row r="44" spans="1:11" x14ac:dyDescent="0.35">
      <c r="A44" s="105">
        <v>45323</v>
      </c>
      <c r="B44" s="3">
        <f>LN('Historical Data'!B45/'Historical Data'!B44)</f>
        <v>-5.1372436126996636E-2</v>
      </c>
      <c r="C44" s="3">
        <f>LN('Historical Data'!C45/'Historical Data'!C44)</f>
        <v>2.0272856475022888E-2</v>
      </c>
      <c r="D44" s="3">
        <f>LN('Historical Data'!D45/'Historical Data'!D44)</f>
        <v>1.8980548516391294E-2</v>
      </c>
      <c r="E44" s="3">
        <f>LN('Historical Data'!E45/'Historical Data'!E44)</f>
        <v>8.6234110240620193E-2</v>
      </c>
      <c r="F44" s="3">
        <f>LN('Historical Data'!F45/'Historical Data'!F44)</f>
        <v>1.4241837560920054E-2</v>
      </c>
      <c r="G44" s="3">
        <f>LN('Historical Data'!G45/'Historical Data'!G44)</f>
        <v>-8.2662160190054342E-3</v>
      </c>
      <c r="H44" s="3">
        <f>LN('Historical Data'!H45/'Historical Data'!H44)</f>
        <v>1.8819120395825964E-2</v>
      </c>
      <c r="I44" s="3">
        <f>LN('Historical Data'!I45/'Historical Data'!I44)</f>
        <v>0.13289289689031697</v>
      </c>
      <c r="J44" s="3">
        <f>LN('Historical Data'!J45/'Historical Data'!J44)</f>
        <v>0.11754440717623406</v>
      </c>
      <c r="K44" s="3">
        <f>LN('Historical Data'!K45/'Historical Data'!K44)</f>
        <v>-0.13838336066026199</v>
      </c>
    </row>
    <row r="45" spans="1:11" x14ac:dyDescent="0.35">
      <c r="A45" s="105">
        <v>45352</v>
      </c>
      <c r="B45" s="3">
        <f>LN('Historical Data'!B46/'Historical Data'!B45)</f>
        <v>-6.7289048227977804E-3</v>
      </c>
      <c r="C45" s="3">
        <f>LN('Historical Data'!C46/'Historical Data'!C45)</f>
        <v>-3.0279762814048001E-2</v>
      </c>
      <c r="D45" s="3">
        <f>LN('Historical Data'!D46/'Historical Data'!D45)</f>
        <v>-1.4899878856964232E-2</v>
      </c>
      <c r="E45" s="3">
        <f>LN('Historical Data'!E46/'Historical Data'!E45)</f>
        <v>7.5583905512683666E-2</v>
      </c>
      <c r="F45" s="3">
        <f>LN('Historical Data'!F46/'Historical Data'!F45)</f>
        <v>-6.5140780328364192E-2</v>
      </c>
      <c r="G45" s="3">
        <f>LN('Historical Data'!G46/'Historical Data'!G45)</f>
        <v>-0.12116349554822556</v>
      </c>
      <c r="H45" s="3">
        <f>LN('Historical Data'!H46/'Historical Data'!H45)</f>
        <v>-7.754035269129618E-2</v>
      </c>
      <c r="I45" s="3">
        <f>LN('Historical Data'!I46/'Historical Data'!I45)</f>
        <v>-4.4699830913124336E-2</v>
      </c>
      <c r="J45" s="3">
        <f>LN('Historical Data'!J46/'Historical Data'!J45)</f>
        <v>-9.9178971444972758E-2</v>
      </c>
      <c r="K45" s="3">
        <f>LN('Historical Data'!K46/'Historical Data'!K45)</f>
        <v>4.172493733344055E-2</v>
      </c>
    </row>
    <row r="46" spans="1:11" x14ac:dyDescent="0.35">
      <c r="A46" s="105">
        <v>45383</v>
      </c>
      <c r="B46" s="3">
        <f>LN('Historical Data'!B47/'Historical Data'!B46)</f>
        <v>0.1210587863632492</v>
      </c>
      <c r="C46" s="3">
        <f>LN('Historical Data'!C47/'Historical Data'!C46)</f>
        <v>8.1949013132249712E-3</v>
      </c>
      <c r="D46" s="3">
        <f>LN('Historical Data'!D47/'Historical Data'!D46)</f>
        <v>2.1516050536095385E-2</v>
      </c>
      <c r="E46" s="3">
        <f>LN('Historical Data'!E47/'Historical Data'!E46)</f>
        <v>5.7997520517486773E-2</v>
      </c>
      <c r="F46" s="3">
        <f>LN('Historical Data'!F47/'Historical Data'!F46)</f>
        <v>-7.8113731298553608E-3</v>
      </c>
      <c r="G46" s="3">
        <f>LN('Historical Data'!G47/'Historical Data'!G46)</f>
        <v>8.1784588705714423E-2</v>
      </c>
      <c r="H46" s="3">
        <f>LN('Historical Data'!H47/'Historical Data'!H46)</f>
        <v>6.416452814699293E-2</v>
      </c>
      <c r="I46" s="3">
        <f>LN('Historical Data'!I47/'Historical Data'!I46)</f>
        <v>0.23812762950743169</v>
      </c>
      <c r="J46" s="3">
        <f>LN('Historical Data'!J47/'Historical Data'!J46)</f>
        <v>3.3015574507320136E-2</v>
      </c>
      <c r="K46" s="3">
        <f>LN('Historical Data'!K47/'Historical Data'!K46)</f>
        <v>-2.8782150618005268E-2</v>
      </c>
    </row>
    <row r="47" spans="1:11" x14ac:dyDescent="0.35">
      <c r="A47" s="105">
        <v>45413</v>
      </c>
      <c r="B47" s="3">
        <f>LN('Historical Data'!B48/'Historical Data'!B47)</f>
        <v>9.2614080821329867E-2</v>
      </c>
      <c r="C47" s="3">
        <f>LN('Historical Data'!C48/'Historical Data'!C47)</f>
        <v>9.1003812230792416E-2</v>
      </c>
      <c r="D47" s="3">
        <f>LN('Historical Data'!D48/'Historical Data'!D47)</f>
        <v>0.18936557968972126</v>
      </c>
      <c r="E47" s="3">
        <f>LN('Historical Data'!E48/'Historical Data'!E47)</f>
        <v>5.4433293071800067E-2</v>
      </c>
      <c r="F47" s="3">
        <f>LN('Historical Data'!F48/'Historical Data'!F47)</f>
        <v>-1.3307433172125922E-2</v>
      </c>
      <c r="G47" s="3">
        <f>LN('Historical Data'!G48/'Historical Data'!G47)</f>
        <v>7.7047636984031068E-2</v>
      </c>
      <c r="H47" s="3">
        <f>LN('Historical Data'!H48/'Historical Data'!H47)</f>
        <v>7.565711276367755E-2</v>
      </c>
      <c r="I47" s="3">
        <f>LN('Historical Data'!I48/'Historical Data'!I47)</f>
        <v>0.11942670510430242</v>
      </c>
      <c r="J47" s="3">
        <f>LN('Historical Data'!J48/'Historical Data'!J47)</f>
        <v>0.18638059482348956</v>
      </c>
      <c r="K47" s="3">
        <f>LN('Historical Data'!K48/'Historical Data'!K47)</f>
        <v>0.10542789883227302</v>
      </c>
    </row>
    <row r="48" spans="1:11" x14ac:dyDescent="0.35">
      <c r="A48" s="105">
        <v>45444</v>
      </c>
      <c r="B48" s="3">
        <f>LN('Historical Data'!B49/'Historical Data'!B48)</f>
        <v>5.2982467636896319E-2</v>
      </c>
      <c r="C48" s="3">
        <f>LN('Historical Data'!C49/'Historical Data'!C48)</f>
        <v>-3.2983028204361768E-2</v>
      </c>
      <c r="D48" s="3">
        <f>LN('Historical Data'!D49/'Historical Data'!D48)</f>
        <v>3.9612319091233061E-3</v>
      </c>
      <c r="E48" s="3">
        <f>LN('Historical Data'!E49/'Historical Data'!E48)</f>
        <v>-5.8867034034286052E-2</v>
      </c>
      <c r="F48" s="3">
        <f>LN('Historical Data'!F49/'Historical Data'!F48)</f>
        <v>4.9851534670772961E-2</v>
      </c>
      <c r="G48" s="3">
        <f>LN('Historical Data'!G49/'Historical Data'!G48)</f>
        <v>-5.906352286096573E-2</v>
      </c>
      <c r="H48" s="3">
        <f>LN('Historical Data'!H49/'Historical Data'!H48)</f>
        <v>-6.6128295162811698E-2</v>
      </c>
      <c r="I48" s="3">
        <f>LN('Historical Data'!I49/'Historical Data'!I48)</f>
        <v>-5.4138578147419666E-2</v>
      </c>
      <c r="J48" s="3">
        <f>LN('Historical Data'!J49/'Historical Data'!J48)</f>
        <v>-1.2471136235338492E-2</v>
      </c>
      <c r="K48" s="3">
        <f>LN('Historical Data'!K49/'Historical Data'!K48)</f>
        <v>0.15937826393515947</v>
      </c>
    </row>
    <row r="49" spans="1:12" x14ac:dyDescent="0.35">
      <c r="A49" s="105">
        <v>45474</v>
      </c>
      <c r="B49" s="3">
        <f>LN('Historical Data'!B50/'Historical Data'!B49)</f>
        <v>3.068396921024014E-2</v>
      </c>
      <c r="C49" s="3">
        <f>LN('Historical Data'!C50/'Historical Data'!C49)</f>
        <v>-4.6413058043475758E-2</v>
      </c>
      <c r="D49" s="3">
        <f>LN('Historical Data'!D50/'Historical Data'!D49)</f>
        <v>1.3230060830966475E-2</v>
      </c>
      <c r="E49" s="3">
        <f>LN('Historical Data'!E50/'Historical Data'!E49)</f>
        <v>-4.8737662183776335E-2</v>
      </c>
      <c r="F49" s="3">
        <f>LN('Historical Data'!F50/'Historical Data'!F49)</f>
        <v>4.2941192675674547E-2</v>
      </c>
      <c r="G49" s="3">
        <f>LN('Historical Data'!G50/'Historical Data'!G49)</f>
        <v>9.3387938880244464E-2</v>
      </c>
      <c r="H49" s="3">
        <f>LN('Historical Data'!H50/'Historical Data'!H49)</f>
        <v>-2.8966923351103767E-3</v>
      </c>
      <c r="I49" s="3">
        <f>LN('Historical Data'!I50/'Historical Data'!I49)</f>
        <v>1.9883686113447131E-2</v>
      </c>
      <c r="J49" s="3">
        <f>LN('Historical Data'!J50/'Historical Data'!J49)</f>
        <v>1.5927339377539446E-2</v>
      </c>
      <c r="K49" s="3">
        <f>LN('Historical Data'!K50/'Historical Data'!K49)</f>
        <v>-8.0549148643581495E-2</v>
      </c>
    </row>
    <row r="50" spans="1:12" x14ac:dyDescent="0.35">
      <c r="A50" s="105">
        <v>45505</v>
      </c>
      <c r="B50" s="3">
        <f>LN('Historical Data'!B51/'Historical Data'!B50)</f>
        <v>1.8473262923187156E-2</v>
      </c>
      <c r="C50" s="3">
        <f>LN('Historical Data'!C51/'Historical Data'!C50)</f>
        <v>4.2930694019627513E-2</v>
      </c>
      <c r="D50" s="3">
        <f>LN('Historical Data'!D51/'Historical Data'!D50)</f>
        <v>5.7752199032609211E-2</v>
      </c>
      <c r="E50" s="3">
        <f>LN('Historical Data'!E51/'Historical Data'!E50)</f>
        <v>1.5005011935107027E-2</v>
      </c>
      <c r="F50" s="3">
        <f>LN('Historical Data'!F51/'Historical Data'!F50)</f>
        <v>2.1410164808637687E-2</v>
      </c>
      <c r="G50" s="3">
        <f>LN('Historical Data'!G51/'Historical Data'!G50)</f>
        <v>9.3563141858780313E-2</v>
      </c>
      <c r="H50" s="3">
        <f>LN('Historical Data'!H51/'Historical Data'!H50)</f>
        <v>3.2861651968684527E-2</v>
      </c>
      <c r="I50" s="3">
        <f>LN('Historical Data'!I51/'Historical Data'!I50)</f>
        <v>1.7192152936688566E-2</v>
      </c>
      <c r="J50" s="3">
        <f>LN('Historical Data'!J51/'Historical Data'!J50)</f>
        <v>0.18733447771846443</v>
      </c>
      <c r="K50" s="3">
        <f>LN('Historical Data'!K51/'Historical Data'!K50)</f>
        <v>0.20044139025591809</v>
      </c>
    </row>
    <row r="51" spans="1:12" x14ac:dyDescent="0.35">
      <c r="A51" s="105">
        <v>45536</v>
      </c>
      <c r="B51" s="3">
        <f>LN('Historical Data'!B52/'Historical Data'!B51)</f>
        <v>-3.090152026798262E-2</v>
      </c>
      <c r="C51" s="3">
        <f>LN('Historical Data'!C52/'Historical Data'!C51)</f>
        <v>3.7560701216951986E-4</v>
      </c>
      <c r="D51" s="3">
        <f>LN('Historical Data'!D52/'Historical Data'!D51)</f>
        <v>-1.2669144532561731E-2</v>
      </c>
      <c r="E51" s="3">
        <f>LN('Historical Data'!E52/'Historical Data'!E51)</f>
        <v>3.2548791882411866E-2</v>
      </c>
      <c r="F51" s="3">
        <f>LN('Historical Data'!F52/'Historical Data'!F51)</f>
        <v>1.1657227709234271E-2</v>
      </c>
      <c r="G51" s="3">
        <f>LN('Historical Data'!G52/'Historical Data'!G51)</f>
        <v>-7.5725150984857336E-3</v>
      </c>
      <c r="H51" s="3">
        <f>LN('Historical Data'!H52/'Historical Data'!H51)</f>
        <v>-5.7267694658911489E-2</v>
      </c>
      <c r="I51" s="3">
        <f>LN('Historical Data'!I52/'Historical Data'!I51)</f>
        <v>8.9208670987409852E-2</v>
      </c>
      <c r="J51" s="3">
        <f>LN('Historical Data'!J52/'Historical Data'!J51)</f>
        <v>-1.5137462385631574E-2</v>
      </c>
      <c r="K51" s="3">
        <f>LN('Historical Data'!K52/'Historical Data'!K51)</f>
        <v>-4.6070554116789973E-2</v>
      </c>
    </row>
    <row r="52" spans="1:12" x14ac:dyDescent="0.35">
      <c r="A52" s="105">
        <v>45566</v>
      </c>
      <c r="B52" s="3">
        <f>LN('Historical Data'!B53/'Historical Data'!B52)</f>
        <v>4.9314895158928958E-2</v>
      </c>
      <c r="C52" s="3">
        <f>LN('Historical Data'!C53/'Historical Data'!C52)</f>
        <v>0.1091141914075318</v>
      </c>
      <c r="D52" s="3">
        <f>LN('Historical Data'!D53/'Historical Data'!D52)</f>
        <v>-4.6354474072232837E-2</v>
      </c>
      <c r="E52" s="3">
        <f>LN('Historical Data'!E53/'Historical Data'!E52)</f>
        <v>-1.2703716289766747E-2</v>
      </c>
      <c r="F52" s="3">
        <f>LN('Historical Data'!F53/'Historical Data'!F52)</f>
        <v>6.5949681456610135E-2</v>
      </c>
      <c r="G52" s="3">
        <f>LN('Historical Data'!G53/'Historical Data'!G52)</f>
        <v>1.1804893708297072E-2</v>
      </c>
      <c r="H52" s="3">
        <f>LN('Historical Data'!H53/'Historical Data'!H52)</f>
        <v>4.1244188219432196E-2</v>
      </c>
      <c r="I52" s="3">
        <f>LN('Historical Data'!I53/'Historical Data'!I52)</f>
        <v>4.052044667082088E-2</v>
      </c>
      <c r="J52" s="3">
        <f>LN('Historical Data'!J53/'Historical Data'!J52)</f>
        <v>9.8725366541661544E-2</v>
      </c>
      <c r="K52" s="3">
        <f>LN('Historical Data'!K53/'Historical Data'!K52)</f>
        <v>0.32314733984989286</v>
      </c>
    </row>
    <row r="53" spans="1:12" x14ac:dyDescent="0.35">
      <c r="A53" s="105">
        <v>45597</v>
      </c>
      <c r="B53" s="3">
        <f>LN('Historical Data'!B54/'Historical Data'!B53)</f>
        <v>5.4787533346067847E-2</v>
      </c>
      <c r="C53" s="3">
        <f>LN('Historical Data'!C54/'Historical Data'!C53)</f>
        <v>5.3841874291946805E-2</v>
      </c>
      <c r="D53" s="3">
        <f>LN('Historical Data'!D54/'Historical Data'!D53)</f>
        <v>0.35795762597005215</v>
      </c>
      <c r="E53" s="3">
        <f>LN('Historical Data'!E54/'Historical Data'!E53)</f>
        <v>0.11373050870199757</v>
      </c>
      <c r="F53" s="3">
        <f>LN('Historical Data'!F54/'Historical Data'!F53)</f>
        <v>-1.2024553658868063E-2</v>
      </c>
      <c r="G53" s="3">
        <f>LN('Historical Data'!G54/'Historical Data'!G53)</f>
        <v>1.929648710352258E-2</v>
      </c>
      <c r="H53" s="3">
        <f>LN('Historical Data'!H54/'Historical Data'!H53)</f>
        <v>-2.6396642276690797E-3</v>
      </c>
      <c r="I53" s="3">
        <f>LN('Historical Data'!I54/'Historical Data'!I53)</f>
        <v>-2.9062255247423743E-2</v>
      </c>
      <c r="J53" s="3">
        <f>LN('Historical Data'!J54/'Historical Data'!J53)</f>
        <v>-0.10365444371966073</v>
      </c>
      <c r="K53" s="3">
        <f>LN('Historical Data'!K54/'Historical Data'!K53)</f>
        <v>0.15701068227268675</v>
      </c>
    </row>
    <row r="54" spans="1:12" x14ac:dyDescent="0.35">
      <c r="A54" s="105">
        <v>45627</v>
      </c>
      <c r="B54" s="3">
        <f>LN('Historical Data'!B55/'Historical Data'!B54)</f>
        <v>-5.9307734052308728E-2</v>
      </c>
      <c r="C54" s="3">
        <f>LN('Historical Data'!C55/'Historical Data'!C54)</f>
        <v>8.0074263203382873E-2</v>
      </c>
      <c r="D54" s="3">
        <f>LN('Historical Data'!D55/'Historical Data'!D54)</f>
        <v>-4.3988312940377625E-2</v>
      </c>
      <c r="E54" s="3">
        <f>LN('Historical Data'!E55/'Historical Data'!E54)</f>
        <v>7.6030048629823127E-2</v>
      </c>
      <c r="F54" s="3">
        <f>LN('Historical Data'!F55/'Historical Data'!F54)</f>
        <v>5.3358623794751016E-2</v>
      </c>
      <c r="G54" s="3">
        <f>LN('Historical Data'!G55/'Historical Data'!G54)</f>
        <v>0.16382550758638034</v>
      </c>
      <c r="H54" s="3">
        <f>LN('Historical Data'!H55/'Historical Data'!H54)</f>
        <v>-1.5396914910852239E-2</v>
      </c>
      <c r="I54" s="3">
        <f>LN('Historical Data'!I55/'Historical Data'!I54)</f>
        <v>-0.11185739729623077</v>
      </c>
      <c r="J54" s="3">
        <f>LN('Historical Data'!J55/'Historical Data'!J54)</f>
        <v>2.0315404748587101E-2</v>
      </c>
      <c r="K54" s="3">
        <f>LN('Historical Data'!K55/'Historical Data'!K54)</f>
        <v>1.8801648208516136E-3</v>
      </c>
    </row>
    <row r="55" spans="1:12" x14ac:dyDescent="0.35">
      <c r="A55" s="105">
        <v>45658</v>
      </c>
      <c r="B55" s="3">
        <f>LN('Historical Data'!B56/'Historical Data'!B55)</f>
        <v>2.4444370175878357E-2</v>
      </c>
      <c r="C55" s="3">
        <f>LN('Historical Data'!C56/'Historical Data'!C55)</f>
        <v>-0.11301907319465797</v>
      </c>
      <c r="D55" s="3">
        <f>LN('Historical Data'!D56/'Historical Data'!D55)</f>
        <v>-0.10392024639692474</v>
      </c>
      <c r="E55" s="3">
        <f>LN('Historical Data'!E56/'Historical Data'!E55)</f>
        <v>-0.18077355882844928</v>
      </c>
      <c r="F55" s="3">
        <f>LN('Historical Data'!F56/'Historical Data'!F55)</f>
        <v>3.8375599098080644E-2</v>
      </c>
      <c r="G55" s="3">
        <f>LN('Historical Data'!G56/'Historical Data'!G55)</f>
        <v>-3.0914794434586994E-2</v>
      </c>
      <c r="H55" s="3">
        <f>LN('Historical Data'!H56/'Historical Data'!H55)</f>
        <v>-4.4511876139467256E-2</v>
      </c>
      <c r="I55" s="3">
        <f>LN('Historical Data'!I56/'Historical Data'!I55)</f>
        <v>3.959826013835592E-2</v>
      </c>
      <c r="J55" s="3">
        <f>LN('Historical Data'!J56/'Historical Data'!J55)</f>
        <v>-2.1347459161905852E-2</v>
      </c>
      <c r="K55" s="3">
        <f>LN('Historical Data'!K56/'Historical Data'!K55)</f>
        <v>-0.32279457743202117</v>
      </c>
    </row>
    <row r="56" spans="1:12" x14ac:dyDescent="0.35">
      <c r="A56" s="105">
        <v>45689</v>
      </c>
      <c r="B56" s="3">
        <f>LN('Historical Data'!B57/'Historical Data'!B56)</f>
        <v>-8.3914619440841831E-2</v>
      </c>
      <c r="C56" s="3">
        <f>LN('Historical Data'!C57/'Historical Data'!C56)</f>
        <v>-0.10951460018138329</v>
      </c>
      <c r="D56" s="3">
        <f>LN('Historical Data'!D57/'Historical Data'!D56)</f>
        <v>-0.17489789472231479</v>
      </c>
      <c r="E56" s="3">
        <f>LN('Historical Data'!E57/'Historical Data'!E56)</f>
        <v>-9.6344435143580889E-2</v>
      </c>
      <c r="F56" s="3">
        <f>LN('Historical Data'!F57/'Historical Data'!F56)</f>
        <v>-5.0151530248652619E-2</v>
      </c>
      <c r="G56" s="3">
        <f>LN('Historical Data'!G57/'Historical Data'!G56)</f>
        <v>-0.14785526247666125</v>
      </c>
      <c r="H56" s="3">
        <f>LN('Historical Data'!H57/'Historical Data'!H56)</f>
        <v>-5.394230591827405E-2</v>
      </c>
      <c r="I56" s="3">
        <f>LN('Historical Data'!I57/'Historical Data'!I56)</f>
        <v>-0.14202997527938754</v>
      </c>
      <c r="J56" s="3">
        <f>LN('Historical Data'!J57/'Historical Data'!J56)</f>
        <v>-0.17206436574276479</v>
      </c>
      <c r="K56" s="3">
        <f>LN('Historical Data'!K57/'Historical Data'!K56)</f>
        <v>-0.12265871571986731</v>
      </c>
    </row>
    <row r="57" spans="1:12" x14ac:dyDescent="0.35">
      <c r="A57" s="105">
        <v>45717</v>
      </c>
      <c r="B57" s="3">
        <f>LN('Historical Data'!B58/'Historical Data'!B57)</f>
        <v>-4.4320876874360447E-2</v>
      </c>
      <c r="C57" s="3">
        <f>LN('Historical Data'!C58/'Historical Data'!C57)</f>
        <v>-3.117579266731578E-2</v>
      </c>
      <c r="D57" s="3">
        <f>LN('Historical Data'!D58/'Historical Data'!D57)</f>
        <v>0.14239614624617514</v>
      </c>
      <c r="E57" s="3">
        <f>LN('Historical Data'!E58/'Historical Data'!E57)</f>
        <v>2.7696891217681978E-2</v>
      </c>
      <c r="F57" s="3">
        <f>LN('Historical Data'!F58/'Historical Data'!F57)</f>
        <v>-1.0920509148451579E-4</v>
      </c>
      <c r="G57" s="3">
        <f>LN('Historical Data'!G58/'Historical Data'!G57)</f>
        <v>-4.7744663198005764E-2</v>
      </c>
      <c r="H57" s="3">
        <f>LN('Historical Data'!H58/'Historical Data'!H57)</f>
        <v>5.1578187367982753E-2</v>
      </c>
      <c r="I57" s="3">
        <f>LN('Historical Data'!I58/'Historical Data'!I57)</f>
        <v>5.0620854316162254E-3</v>
      </c>
      <c r="J57" s="3">
        <f>LN('Historical Data'!J58/'Historical Data'!J57)</f>
        <v>6.4873633877675996E-3</v>
      </c>
      <c r="K57" s="3">
        <f>LN('Historical Data'!K58/'Historical Data'!K57)</f>
        <v>8.5028654346040039E-2</v>
      </c>
    </row>
    <row r="58" spans="1:12" x14ac:dyDescent="0.35">
      <c r="A58" s="105">
        <v>45748</v>
      </c>
      <c r="B58" s="3">
        <f>LN('Historical Data'!B59/'Historical Data'!B58)</f>
        <v>-5.6383367673479748E-2</v>
      </c>
      <c r="C58" s="3">
        <f>LN('Historical Data'!C59/'Historical Data'!C58)</f>
        <v>0.10584299332548866</v>
      </c>
      <c r="D58" s="3">
        <f>LN('Historical Data'!D59/'Historical Data'!D58)</f>
        <v>0.22928668885353229</v>
      </c>
      <c r="E58" s="3">
        <f>LN('Historical Data'!E59/'Historical Data'!E58)</f>
        <v>7.833610932493125E-2</v>
      </c>
      <c r="F58" s="3">
        <f>LN('Historical Data'!F59/'Historical Data'!F58)</f>
        <v>6.7836973067498363E-2</v>
      </c>
      <c r="G58" s="3">
        <f>LN('Historical Data'!G59/'Historical Data'!G58)</f>
        <v>0.16500491082838339</v>
      </c>
      <c r="H58" s="3">
        <f>LN('Historical Data'!H59/'Historical Data'!H58)</f>
        <v>0.15246488033430833</v>
      </c>
      <c r="I58" s="3">
        <f>LN('Historical Data'!I59/'Historical Data'!I58)</f>
        <v>0.21562358585006208</v>
      </c>
      <c r="J58" s="3">
        <f>LN('Historical Data'!J59/'Historical Data'!J58)</f>
        <v>0.16596642179740731</v>
      </c>
      <c r="K58" s="3">
        <f>LN('Historical Data'!K59/'Historical Data'!K58)</f>
        <v>0.20529308592299816</v>
      </c>
    </row>
    <row r="59" spans="1:12" x14ac:dyDescent="0.35">
      <c r="A59" s="105">
        <v>45778</v>
      </c>
      <c r="B59" s="3">
        <f>LN('Historical Data'!B60/'Historical Data'!B59)</f>
        <v>2.259081457014863E-2</v>
      </c>
      <c r="C59" s="3">
        <f>LN('Historical Data'!C60/'Historical Data'!C59)</f>
        <v>6.7792209514485668E-2</v>
      </c>
      <c r="D59" s="3">
        <f>LN('Historical Data'!D60/'Historical Data'!D59)</f>
        <v>0.12990483651641627</v>
      </c>
      <c r="E59" s="3">
        <f>LN('Historical Data'!E60/'Historical Data'!E59)</f>
        <v>2.5807887672444109E-2</v>
      </c>
      <c r="F59" s="3">
        <f>LN('Historical Data'!F60/'Historical Data'!F59)</f>
        <v>-4.1241918587303777E-2</v>
      </c>
      <c r="G59" s="3">
        <f>LN('Historical Data'!G60/'Historical Data'!G59)</f>
        <v>0.13096244320498607</v>
      </c>
      <c r="H59" s="3">
        <f>LN('Historical Data'!H60/'Historical Data'!H59)</f>
        <v>7.9240193706366577E-2</v>
      </c>
      <c r="I59" s="3">
        <f>LN('Historical Data'!I60/'Historical Data'!I59)</f>
        <v>0.15629430925706592</v>
      </c>
      <c r="J59" s="3">
        <f>LN('Historical Data'!J60/'Historical Data'!J59)</f>
        <v>0.27822823612945036</v>
      </c>
      <c r="K59" s="3">
        <f>LN('Historical Data'!K60/'Historical Data'!K59)</f>
        <v>-8.678574344378566E-2</v>
      </c>
    </row>
    <row r="60" spans="1:12" x14ac:dyDescent="0.35">
      <c r="A60" s="105">
        <v>45809</v>
      </c>
      <c r="B60" s="3">
        <f>LN('Historical Data'!B61/'Historical Data'!B60)</f>
        <v>1.1629829038112875E-2</v>
      </c>
      <c r="C60" s="3">
        <f>LN('Historical Data'!C61/'Historical Data'!C60)</f>
        <v>6.4940122421257351E-2</v>
      </c>
      <c r="D60" s="3">
        <f>LN('Historical Data'!D61/'Historical Data'!D60)</f>
        <v>6.5778202991614923E-2</v>
      </c>
      <c r="E60" s="3">
        <f>LN('Historical Data'!E61/'Historical Data'!E60)</f>
        <v>8.6394359386190833E-2</v>
      </c>
      <c r="F60" s="3">
        <f>LN('Historical Data'!F61/'Historical Data'!F60)</f>
        <v>8.029014177694414E-3</v>
      </c>
      <c r="G60" s="3">
        <f>LN('Historical Data'!G61/'Historical Data'!G60)</f>
        <v>4.7551402295751062E-2</v>
      </c>
      <c r="H60" s="3">
        <f>LN('Historical Data'!H61/'Historical Data'!H60)</f>
        <v>7.0044298596332141E-2</v>
      </c>
      <c r="I60" s="3">
        <f>LN('Historical Data'!I61/'Historical Data'!I60)</f>
        <v>0.11859094935910039</v>
      </c>
      <c r="J60" s="3">
        <f>LN('Historical Data'!J61/'Historical Data'!J60)</f>
        <v>0.14904735480651449</v>
      </c>
      <c r="K60" s="3">
        <f>LN('Historical Data'!K61/'Historical Data'!K60)</f>
        <v>-3.00056060666785E-2</v>
      </c>
    </row>
    <row r="61" spans="1:12" x14ac:dyDescent="0.35">
      <c r="A61" s="105">
        <v>45839</v>
      </c>
      <c r="B61" s="3">
        <f>LN('Historical Data'!B62/'Historical Data'!B61)</f>
        <v>0.1118718004455873</v>
      </c>
      <c r="C61" s="3">
        <f>LN('Historical Data'!C62/'Historical Data'!C61)</f>
        <v>-2.2069086817987069E-2</v>
      </c>
      <c r="D61" s="3">
        <f>LN('Historical Data'!D62/'Historical Data'!D61)</f>
        <v>1.2485270109406874E-2</v>
      </c>
      <c r="E61" s="3">
        <f>LN('Historical Data'!E62/'Historical Data'!E61)</f>
        <v>0.10389502783124717</v>
      </c>
      <c r="F61" s="3">
        <f>LN('Historical Data'!F62/'Historical Data'!F61)</f>
        <v>5.0976663601983559E-2</v>
      </c>
      <c r="G61" s="3">
        <f>LN('Historical Data'!G62/'Historical Data'!G61)</f>
        <v>-4.5956121936437395E-2</v>
      </c>
      <c r="H61" s="3">
        <f>LN('Historical Data'!H62/'Historical Data'!H61)</f>
        <v>-5.1559697096131826E-2</v>
      </c>
      <c r="I61" s="3">
        <f>LN('Historical Data'!I62/'Historical Data'!I61)</f>
        <v>-2.0963741925078095E-2</v>
      </c>
      <c r="J61" s="3">
        <f>LN('Historical Data'!J62/'Historical Data'!J61)</f>
        <v>-0.11319539946525574</v>
      </c>
      <c r="K61" s="3">
        <f>LN('Historical Data'!K62/'Historical Data'!K61)</f>
        <v>7.9775673313112888E-2</v>
      </c>
    </row>
    <row r="62" spans="1:12" x14ac:dyDescent="0.35">
      <c r="A62" s="105">
        <v>45870</v>
      </c>
      <c r="B62" s="3">
        <f>LN('Historical Data'!B63/'Historical Data'!B62)</f>
        <v>9.3605314940035864E-2</v>
      </c>
      <c r="C62" s="3">
        <f>LN('Historical Data'!C63/'Historical Data'!C62)</f>
        <v>-4.2050915272994226E-2</v>
      </c>
      <c r="D62" s="3">
        <f>LN('Historical Data'!D63/'Historical Data'!D62)</f>
        <v>0.10377556336566525</v>
      </c>
      <c r="E62" s="3">
        <f>LN('Historical Data'!E63/'Historical Data'!E62)</f>
        <v>0.13260368583841625</v>
      </c>
      <c r="F62" s="3">
        <f>LN('Historical Data'!F63/'Historical Data'!F62)</f>
        <v>-4.5502071748712646E-2</v>
      </c>
      <c r="G62" s="3">
        <f>LN('Historical Data'!G63/'Historical Data'!G62)</f>
        <v>-5.8652971497192338E-3</v>
      </c>
      <c r="H62" s="3">
        <f>LN('Historical Data'!H63/'Historical Data'!H62)</f>
        <v>2.3621924276929041E-2</v>
      </c>
      <c r="I62" s="3">
        <f>LN('Historical Data'!I63/'Historical Data'!I62)</f>
        <v>6.8770841774636007E-2</v>
      </c>
      <c r="J62" s="3">
        <f>LN('Historical Data'!J63/'Historical Data'!J62)</f>
        <v>0.21809820314316916</v>
      </c>
      <c r="K62" s="3">
        <f>LN('Historical Data'!K63/'Historical Data'!K62)</f>
        <v>0.28669317499177072</v>
      </c>
    </row>
    <row r="63" spans="1:12" ht="15" thickBot="1" x14ac:dyDescent="0.4">
      <c r="A63" s="106">
        <v>45901</v>
      </c>
      <c r="B63" s="3">
        <f>LN('Historical Data'!B64/'Historical Data'!B63)</f>
        <v>-2.8602969676944572E-2</v>
      </c>
      <c r="C63" s="3">
        <f>LN('Historical Data'!C64/'Historical Data'!C63)</f>
        <v>-2.3501219834375267E-2</v>
      </c>
      <c r="D63" s="3">
        <f>LN('Historical Data'!D64/'Historical Data'!D63)</f>
        <v>7.2612593217592253E-2</v>
      </c>
      <c r="E63" s="3">
        <f>LN('Historical Data'!E64/'Historical Data'!E63)</f>
        <v>3.4704908697474966E-2</v>
      </c>
      <c r="F63" s="3">
        <f>LN('Historical Data'!F64/'Historical Data'!F63)</f>
        <v>-3.2527150379618827E-2</v>
      </c>
      <c r="G63" s="3">
        <f>LN('Historical Data'!G64/'Historical Data'!G63)</f>
        <v>-3.0175710620640162E-2</v>
      </c>
      <c r="H63" s="3">
        <f>LN('Historical Data'!H64/'Historical Data'!H63)</f>
        <v>-1.2316096469734869E-2</v>
      </c>
      <c r="I63" s="3">
        <f>LN('Historical Data'!I64/'Historical Data'!I63)</f>
        <v>-2.5841638089870434E-2</v>
      </c>
      <c r="J63" s="3">
        <f>LN('Historical Data'!J64/'Historical Data'!J63)</f>
        <v>0.10872862368549222</v>
      </c>
      <c r="K63" s="3">
        <f>LN('Historical Data'!K64/'Historical Data'!K63)</f>
        <v>-3.6570872165064397E-2</v>
      </c>
    </row>
    <row r="64" spans="1:12" ht="15" thickBot="1" x14ac:dyDescent="0.4">
      <c r="A64" s="107" t="s">
        <v>12</v>
      </c>
      <c r="B64" s="113">
        <f>AVERAGE(B3:B63)</f>
        <v>1.2900316782046195E-2</v>
      </c>
      <c r="C64" s="101">
        <f t="shared" ref="C64:K64" si="0">AVERAGE(C3:C63)</f>
        <v>5.0679945259195069E-3</v>
      </c>
      <c r="D64" s="101">
        <f>AVERAGE(D3:D63)</f>
        <v>3.9274075328775727E-2</v>
      </c>
      <c r="E64" s="101">
        <f t="shared" si="0"/>
        <v>2.0325732292115716E-2</v>
      </c>
      <c r="F64" s="101">
        <f t="shared" si="0"/>
        <v>8.4529559807241667E-3</v>
      </c>
      <c r="G64" s="101">
        <f t="shared" si="0"/>
        <v>1.6497689856701678E-2</v>
      </c>
      <c r="H64" s="101">
        <f t="shared" si="0"/>
        <v>1.5261162452496113E-2</v>
      </c>
      <c r="I64" s="101">
        <f>AVERAGE(I3:I63)</f>
        <v>4.2645290557284936E-2</v>
      </c>
      <c r="J64" s="101">
        <f t="shared" si="0"/>
        <v>2.836942359865189E-2</v>
      </c>
      <c r="K64" s="102">
        <f t="shared" si="0"/>
        <v>1.8000103140384159E-2</v>
      </c>
      <c r="L64" s="31">
        <f>AVERAGE(B64:K64)</f>
        <v>2.067947445151001E-2</v>
      </c>
    </row>
    <row r="65" spans="1:12" ht="19" thickBot="1" x14ac:dyDescent="0.5">
      <c r="A65" s="108" t="s">
        <v>13</v>
      </c>
      <c r="B65" s="114">
        <f>B64*12</f>
        <v>0.15480380138455435</v>
      </c>
      <c r="C65" s="32">
        <f t="shared" ref="C65:K65" si="1">C64*12</f>
        <v>6.0815934311034082E-2</v>
      </c>
      <c r="D65" s="32">
        <f>D64*12</f>
        <v>0.47128890394530876</v>
      </c>
      <c r="E65" s="32">
        <f t="shared" si="1"/>
        <v>0.24390878750538858</v>
      </c>
      <c r="F65" s="32">
        <f t="shared" si="1"/>
        <v>0.10143547176869</v>
      </c>
      <c r="G65" s="32">
        <f t="shared" si="1"/>
        <v>0.19797227828042013</v>
      </c>
      <c r="H65" s="32">
        <f t="shared" si="1"/>
        <v>0.18313394942995337</v>
      </c>
      <c r="I65" s="32">
        <f>I64*12</f>
        <v>0.5117434866874192</v>
      </c>
      <c r="J65" s="32">
        <f t="shared" si="1"/>
        <v>0.3404330831838227</v>
      </c>
      <c r="K65" s="33">
        <f t="shared" si="1"/>
        <v>0.21600123768460991</v>
      </c>
      <c r="L65" s="31">
        <f t="shared" ref="L65:L68" si="2">AVERAGE(B65:K65)</f>
        <v>0.2481536934181201</v>
      </c>
    </row>
    <row r="66" spans="1:12" ht="15" thickBot="1" x14ac:dyDescent="0.4">
      <c r="A66" s="109" t="s">
        <v>14</v>
      </c>
      <c r="B66" s="115">
        <f>_xlfn.VAR.S(AAPL1)</f>
        <v>5.0962477069292867E-3</v>
      </c>
      <c r="C66" s="34">
        <f t="shared" ref="C66:K66" si="3">_xlfn.VAR.S(C3:C64)</f>
        <v>7.4741094556301912E-3</v>
      </c>
      <c r="D66" s="34">
        <f t="shared" si="3"/>
        <v>9.6221282949086728E-3</v>
      </c>
      <c r="E66" s="34">
        <f t="shared" si="3"/>
        <v>6.0091084266450639E-3</v>
      </c>
      <c r="F66" s="34">
        <f t="shared" si="3"/>
        <v>4.6605782407193128E-3</v>
      </c>
      <c r="G66" s="34">
        <f t="shared" si="3"/>
        <v>1.4162000999482385E-2</v>
      </c>
      <c r="H66" s="34">
        <f t="shared" si="3"/>
        <v>3.8336688639038431E-3</v>
      </c>
      <c r="I66" s="34">
        <f t="shared" si="3"/>
        <v>1.9596191569281989E-2</v>
      </c>
      <c r="J66" s="34">
        <f t="shared" si="3"/>
        <v>9.7933269948656029E-3</v>
      </c>
      <c r="K66" s="35">
        <f t="shared" si="3"/>
        <v>3.0555443990937309E-2</v>
      </c>
      <c r="L66" s="31">
        <f t="shared" si="2"/>
        <v>1.1080280454330365E-2</v>
      </c>
    </row>
    <row r="67" spans="1:12" ht="19" thickBot="1" x14ac:dyDescent="0.5">
      <c r="A67" s="108" t="s">
        <v>15</v>
      </c>
      <c r="B67" s="114">
        <f>B66*12</f>
        <v>6.1154972483151437E-2</v>
      </c>
      <c r="C67" s="32">
        <f>C66*12</f>
        <v>8.9689313467562287E-2</v>
      </c>
      <c r="D67" s="32">
        <f t="shared" ref="D67:J67" si="4">D66*12</f>
        <v>0.11546553953890407</v>
      </c>
      <c r="E67" s="32">
        <f t="shared" si="4"/>
        <v>7.210930111974076E-2</v>
      </c>
      <c r="F67" s="32">
        <f t="shared" si="4"/>
        <v>5.5926938888631754E-2</v>
      </c>
      <c r="G67" s="32">
        <f t="shared" si="4"/>
        <v>0.16994401199378861</v>
      </c>
      <c r="H67" s="32">
        <f t="shared" si="4"/>
        <v>4.6004026366846119E-2</v>
      </c>
      <c r="I67" s="32">
        <f t="shared" si="4"/>
        <v>0.23515429883138386</v>
      </c>
      <c r="J67" s="32">
        <f t="shared" si="4"/>
        <v>0.11751992393838723</v>
      </c>
      <c r="K67" s="33">
        <f>K66*12</f>
        <v>0.36666532789124773</v>
      </c>
      <c r="L67" s="31">
        <f t="shared" si="2"/>
        <v>0.13296336545196438</v>
      </c>
    </row>
    <row r="68" spans="1:12" ht="19" thickBot="1" x14ac:dyDescent="0.5">
      <c r="A68" s="108" t="s">
        <v>16</v>
      </c>
      <c r="B68" s="114">
        <f>SQRT(B67)</f>
        <v>0.2472953143170154</v>
      </c>
      <c r="C68" s="32">
        <f t="shared" ref="C68:J68" si="5">SQRT(C67)</f>
        <v>0.29948174145941231</v>
      </c>
      <c r="D68" s="32">
        <f t="shared" si="5"/>
        <v>0.33980220649504922</v>
      </c>
      <c r="E68" s="32">
        <f t="shared" si="5"/>
        <v>0.26853175067343665</v>
      </c>
      <c r="F68" s="32">
        <f t="shared" si="5"/>
        <v>0.23648877116817144</v>
      </c>
      <c r="G68" s="32">
        <f t="shared" si="5"/>
        <v>0.41224266154024941</v>
      </c>
      <c r="H68" s="32">
        <f t="shared" si="5"/>
        <v>0.21448549220599075</v>
      </c>
      <c r="I68" s="32">
        <f t="shared" si="5"/>
        <v>0.4849271067195397</v>
      </c>
      <c r="J68" s="32">
        <f t="shared" si="5"/>
        <v>0.34281179083921143</v>
      </c>
      <c r="K68" s="33">
        <f>SQRT(K67)</f>
        <v>0.60552896536106982</v>
      </c>
      <c r="L68" s="111">
        <f t="shared" si="2"/>
        <v>0.34515958007791464</v>
      </c>
    </row>
    <row r="69" spans="1:12" ht="15" thickBot="1" x14ac:dyDescent="0.4">
      <c r="A69" s="110"/>
      <c r="L69" s="112" t="s">
        <v>17</v>
      </c>
    </row>
    <row r="70" spans="1:12" x14ac:dyDescent="0.35">
      <c r="A70" s="110"/>
    </row>
    <row r="71" spans="1:12" x14ac:dyDescent="0.35">
      <c r="A71" s="110"/>
    </row>
    <row r="72" spans="1:12" x14ac:dyDescent="0.35">
      <c r="A72" s="110"/>
    </row>
    <row r="73" spans="1:12" x14ac:dyDescent="0.35">
      <c r="A73" s="110"/>
    </row>
    <row r="74" spans="1:12" x14ac:dyDescent="0.35">
      <c r="A74" s="110"/>
    </row>
    <row r="75" spans="1:12" x14ac:dyDescent="0.35">
      <c r="A75" s="110"/>
    </row>
    <row r="76" spans="1:12" x14ac:dyDescent="0.35">
      <c r="A76" s="110"/>
    </row>
    <row r="77" spans="1:12" x14ac:dyDescent="0.35">
      <c r="A77" s="110"/>
    </row>
    <row r="78" spans="1:12" x14ac:dyDescent="0.35">
      <c r="A78" s="110"/>
    </row>
    <row r="79" spans="1:12" x14ac:dyDescent="0.35">
      <c r="A79" s="110"/>
    </row>
    <row r="80" spans="1:12" x14ac:dyDescent="0.35">
      <c r="A80" s="110"/>
    </row>
    <row r="81" spans="1:1" x14ac:dyDescent="0.35">
      <c r="A81" s="110"/>
    </row>
    <row r="82" spans="1:1" x14ac:dyDescent="0.35">
      <c r="A82" s="110"/>
    </row>
    <row r="83" spans="1:1" x14ac:dyDescent="0.35">
      <c r="A83" s="110"/>
    </row>
    <row r="84" spans="1:1" x14ac:dyDescent="0.35">
      <c r="A84" s="110"/>
    </row>
    <row r="85" spans="1:1" x14ac:dyDescent="0.35">
      <c r="A85" s="110"/>
    </row>
    <row r="86" spans="1:1" x14ac:dyDescent="0.35">
      <c r="A86" s="110"/>
    </row>
    <row r="87" spans="1:1" x14ac:dyDescent="0.35">
      <c r="A87" s="110"/>
    </row>
    <row r="88" spans="1:1" x14ac:dyDescent="0.35">
      <c r="A88" s="110"/>
    </row>
    <row r="89" spans="1:1" x14ac:dyDescent="0.35">
      <c r="A89" s="110"/>
    </row>
    <row r="90" spans="1:1" x14ac:dyDescent="0.35">
      <c r="A90" s="110"/>
    </row>
    <row r="91" spans="1:1" x14ac:dyDescent="0.35">
      <c r="A91" s="110"/>
    </row>
    <row r="92" spans="1:1" x14ac:dyDescent="0.35">
      <c r="A92" s="110"/>
    </row>
    <row r="93" spans="1:1" x14ac:dyDescent="0.35">
      <c r="A93" s="110"/>
    </row>
    <row r="94" spans="1:1" x14ac:dyDescent="0.35">
      <c r="A94" s="110"/>
    </row>
    <row r="95" spans="1:1" x14ac:dyDescent="0.35">
      <c r="A95" s="110"/>
    </row>
    <row r="96" spans="1:1" x14ac:dyDescent="0.35">
      <c r="A96" s="110"/>
    </row>
    <row r="97" spans="1:1" x14ac:dyDescent="0.35">
      <c r="A97" s="110"/>
    </row>
    <row r="98" spans="1:1" x14ac:dyDescent="0.35">
      <c r="A98" s="110"/>
    </row>
    <row r="99" spans="1:1" x14ac:dyDescent="0.35">
      <c r="A99" s="110"/>
    </row>
    <row r="100" spans="1:1" x14ac:dyDescent="0.35">
      <c r="A100" s="110"/>
    </row>
    <row r="101" spans="1:1" x14ac:dyDescent="0.35">
      <c r="A101" s="110"/>
    </row>
    <row r="102" spans="1:1" x14ac:dyDescent="0.35">
      <c r="A102" s="110"/>
    </row>
    <row r="103" spans="1:1" x14ac:dyDescent="0.35">
      <c r="A103" s="110"/>
    </row>
    <row r="104" spans="1:1" x14ac:dyDescent="0.35">
      <c r="A104" s="110"/>
    </row>
    <row r="105" spans="1:1" x14ac:dyDescent="0.35">
      <c r="A105" s="110"/>
    </row>
    <row r="106" spans="1:1" x14ac:dyDescent="0.35">
      <c r="A106" s="110"/>
    </row>
    <row r="107" spans="1:1" x14ac:dyDescent="0.35">
      <c r="A107" s="110"/>
    </row>
    <row r="108" spans="1:1" x14ac:dyDescent="0.35">
      <c r="A108" s="110"/>
    </row>
    <row r="109" spans="1:1" x14ac:dyDescent="0.35">
      <c r="A109" s="110"/>
    </row>
    <row r="110" spans="1:1" x14ac:dyDescent="0.35">
      <c r="A110" s="110"/>
    </row>
    <row r="111" spans="1:1" x14ac:dyDescent="0.35">
      <c r="A111" s="110"/>
    </row>
    <row r="112" spans="1:1" x14ac:dyDescent="0.35">
      <c r="A112" s="110"/>
    </row>
    <row r="113" spans="1:1" x14ac:dyDescent="0.35">
      <c r="A113" s="110"/>
    </row>
    <row r="114" spans="1:1" x14ac:dyDescent="0.35">
      <c r="A114" s="110"/>
    </row>
    <row r="115" spans="1:1" x14ac:dyDescent="0.35">
      <c r="A115" s="110"/>
    </row>
    <row r="116" spans="1:1" x14ac:dyDescent="0.35">
      <c r="A116" s="110"/>
    </row>
    <row r="117" spans="1:1" x14ac:dyDescent="0.35">
      <c r="A117" s="110"/>
    </row>
    <row r="118" spans="1:1" x14ac:dyDescent="0.35">
      <c r="A118" s="110"/>
    </row>
    <row r="119" spans="1:1" x14ac:dyDescent="0.35">
      <c r="A119" s="110"/>
    </row>
    <row r="120" spans="1:1" x14ac:dyDescent="0.35">
      <c r="A120" s="110"/>
    </row>
    <row r="121" spans="1:1" x14ac:dyDescent="0.35">
      <c r="A121" s="110"/>
    </row>
    <row r="122" spans="1:1" x14ac:dyDescent="0.35">
      <c r="A122" s="110"/>
    </row>
    <row r="123" spans="1:1" x14ac:dyDescent="0.35">
      <c r="A123" s="110"/>
    </row>
    <row r="124" spans="1:1" x14ac:dyDescent="0.35">
      <c r="A124" s="110"/>
    </row>
    <row r="125" spans="1:1" x14ac:dyDescent="0.35">
      <c r="A125" s="110"/>
    </row>
    <row r="126" spans="1:1" x14ac:dyDescent="0.35">
      <c r="A126" s="110"/>
    </row>
    <row r="127" spans="1:1" x14ac:dyDescent="0.35">
      <c r="A127" s="110"/>
    </row>
    <row r="128" spans="1:1" x14ac:dyDescent="0.35">
      <c r="A128" s="110"/>
    </row>
    <row r="129" spans="1:1" x14ac:dyDescent="0.35">
      <c r="A129" s="110"/>
    </row>
    <row r="130" spans="1:1" x14ac:dyDescent="0.35">
      <c r="A130" s="110"/>
    </row>
    <row r="131" spans="1:1" x14ac:dyDescent="0.35">
      <c r="A131" s="110"/>
    </row>
    <row r="132" spans="1:1" x14ac:dyDescent="0.35">
      <c r="A132" s="110"/>
    </row>
    <row r="133" spans="1:1" x14ac:dyDescent="0.35">
      <c r="A133" s="110"/>
    </row>
    <row r="134" spans="1:1" x14ac:dyDescent="0.35">
      <c r="A134" s="110"/>
    </row>
    <row r="135" spans="1:1" x14ac:dyDescent="0.35">
      <c r="A135" s="110"/>
    </row>
    <row r="136" spans="1:1" x14ac:dyDescent="0.35">
      <c r="A136" s="110"/>
    </row>
    <row r="137" spans="1:1" x14ac:dyDescent="0.35">
      <c r="A137" s="110"/>
    </row>
    <row r="138" spans="1:1" x14ac:dyDescent="0.35">
      <c r="A138" s="110"/>
    </row>
    <row r="139" spans="1:1" x14ac:dyDescent="0.35">
      <c r="A139" s="110"/>
    </row>
    <row r="140" spans="1:1" x14ac:dyDescent="0.35">
      <c r="A140" s="110"/>
    </row>
    <row r="141" spans="1:1" x14ac:dyDescent="0.35">
      <c r="A141" s="110"/>
    </row>
    <row r="142" spans="1:1" x14ac:dyDescent="0.35">
      <c r="A142" s="110"/>
    </row>
    <row r="143" spans="1:1" x14ac:dyDescent="0.35">
      <c r="A143" s="110"/>
    </row>
    <row r="144" spans="1:1" x14ac:dyDescent="0.35">
      <c r="A144" s="110"/>
    </row>
    <row r="145" spans="1:1" x14ac:dyDescent="0.35">
      <c r="A145" s="110"/>
    </row>
    <row r="146" spans="1:1" x14ac:dyDescent="0.35">
      <c r="A146" s="110"/>
    </row>
    <row r="147" spans="1:1" x14ac:dyDescent="0.35">
      <c r="A147" s="110"/>
    </row>
    <row r="148" spans="1:1" x14ac:dyDescent="0.35">
      <c r="A148" s="110"/>
    </row>
    <row r="149" spans="1:1" x14ac:dyDescent="0.35">
      <c r="A149" s="110"/>
    </row>
    <row r="150" spans="1:1" x14ac:dyDescent="0.35">
      <c r="A150" s="110"/>
    </row>
    <row r="151" spans="1:1" x14ac:dyDescent="0.35">
      <c r="A151" s="110"/>
    </row>
    <row r="152" spans="1:1" x14ac:dyDescent="0.35">
      <c r="A152" s="110"/>
    </row>
    <row r="153" spans="1:1" x14ac:dyDescent="0.35">
      <c r="A153" s="110"/>
    </row>
    <row r="154" spans="1:1" x14ac:dyDescent="0.35">
      <c r="A154" s="110"/>
    </row>
    <row r="155" spans="1:1" x14ac:dyDescent="0.35">
      <c r="A155" s="110"/>
    </row>
    <row r="156" spans="1:1" x14ac:dyDescent="0.35">
      <c r="A156" s="110"/>
    </row>
    <row r="157" spans="1:1" x14ac:dyDescent="0.35">
      <c r="A157" s="110"/>
    </row>
    <row r="158" spans="1:1" x14ac:dyDescent="0.35">
      <c r="A158" s="110"/>
    </row>
    <row r="159" spans="1:1" x14ac:dyDescent="0.35">
      <c r="A159" s="110"/>
    </row>
    <row r="160" spans="1:1" x14ac:dyDescent="0.35">
      <c r="A160" s="110"/>
    </row>
    <row r="161" spans="1:1" x14ac:dyDescent="0.35">
      <c r="A161" s="110"/>
    </row>
    <row r="162" spans="1:1" x14ac:dyDescent="0.35">
      <c r="A162" s="110"/>
    </row>
    <row r="163" spans="1:1" x14ac:dyDescent="0.35">
      <c r="A163" s="110"/>
    </row>
    <row r="164" spans="1:1" x14ac:dyDescent="0.35">
      <c r="A164" s="110"/>
    </row>
    <row r="165" spans="1:1" x14ac:dyDescent="0.35">
      <c r="A165" s="110"/>
    </row>
    <row r="166" spans="1:1" x14ac:dyDescent="0.35">
      <c r="A166" s="110"/>
    </row>
    <row r="167" spans="1:1" x14ac:dyDescent="0.35">
      <c r="A167" s="110"/>
    </row>
    <row r="168" spans="1:1" x14ac:dyDescent="0.35">
      <c r="A168" s="110"/>
    </row>
    <row r="169" spans="1:1" x14ac:dyDescent="0.35">
      <c r="A169" s="110"/>
    </row>
    <row r="170" spans="1:1" x14ac:dyDescent="0.35">
      <c r="A170" s="110"/>
    </row>
    <row r="171" spans="1:1" x14ac:dyDescent="0.35">
      <c r="A171" s="110"/>
    </row>
    <row r="172" spans="1:1" x14ac:dyDescent="0.35">
      <c r="A172" s="110"/>
    </row>
    <row r="173" spans="1:1" x14ac:dyDescent="0.35">
      <c r="A173" s="110"/>
    </row>
    <row r="174" spans="1:1" x14ac:dyDescent="0.35">
      <c r="A174" s="110"/>
    </row>
    <row r="175" spans="1:1" x14ac:dyDescent="0.35">
      <c r="A175" s="110"/>
    </row>
    <row r="176" spans="1:1" x14ac:dyDescent="0.35">
      <c r="A176" s="110"/>
    </row>
    <row r="177" spans="1:1" x14ac:dyDescent="0.35">
      <c r="A177" s="110"/>
    </row>
    <row r="178" spans="1:1" x14ac:dyDescent="0.35">
      <c r="A178" s="110"/>
    </row>
    <row r="179" spans="1:1" x14ac:dyDescent="0.35">
      <c r="A179" s="110"/>
    </row>
    <row r="180" spans="1:1" x14ac:dyDescent="0.35">
      <c r="A180" s="110"/>
    </row>
    <row r="181" spans="1:1" x14ac:dyDescent="0.35">
      <c r="A181" s="110"/>
    </row>
    <row r="182" spans="1:1" x14ac:dyDescent="0.35">
      <c r="A182" s="110"/>
    </row>
    <row r="183" spans="1:1" x14ac:dyDescent="0.35">
      <c r="A183" s="110"/>
    </row>
    <row r="184" spans="1:1" x14ac:dyDescent="0.35">
      <c r="A184" s="110"/>
    </row>
    <row r="185" spans="1:1" x14ac:dyDescent="0.35">
      <c r="A185" s="110"/>
    </row>
    <row r="186" spans="1:1" x14ac:dyDescent="0.35">
      <c r="A186" s="110"/>
    </row>
    <row r="187" spans="1:1" x14ac:dyDescent="0.35">
      <c r="A187" s="110"/>
    </row>
    <row r="188" spans="1:1" x14ac:dyDescent="0.35">
      <c r="A188" s="110"/>
    </row>
    <row r="189" spans="1:1" x14ac:dyDescent="0.35">
      <c r="A189" s="110"/>
    </row>
    <row r="190" spans="1:1" x14ac:dyDescent="0.35">
      <c r="A190" s="110"/>
    </row>
    <row r="191" spans="1:1" x14ac:dyDescent="0.35">
      <c r="A191" s="110"/>
    </row>
    <row r="192" spans="1:1" x14ac:dyDescent="0.35">
      <c r="A192" s="110"/>
    </row>
    <row r="193" spans="1:1" x14ac:dyDescent="0.35">
      <c r="A193" s="110"/>
    </row>
    <row r="194" spans="1:1" x14ac:dyDescent="0.35">
      <c r="A194" s="110"/>
    </row>
    <row r="195" spans="1:1" x14ac:dyDescent="0.35">
      <c r="A195" s="110"/>
    </row>
    <row r="196" spans="1:1" x14ac:dyDescent="0.35">
      <c r="A196" s="110"/>
    </row>
    <row r="197" spans="1:1" x14ac:dyDescent="0.35">
      <c r="A197" s="110"/>
    </row>
    <row r="198" spans="1:1" x14ac:dyDescent="0.35">
      <c r="A198" s="110"/>
    </row>
    <row r="199" spans="1:1" x14ac:dyDescent="0.35">
      <c r="A199" s="110"/>
    </row>
    <row r="200" spans="1:1" x14ac:dyDescent="0.35">
      <c r="A200" s="110"/>
    </row>
    <row r="201" spans="1:1" x14ac:dyDescent="0.35">
      <c r="A201" s="110"/>
    </row>
    <row r="202" spans="1:1" x14ac:dyDescent="0.35">
      <c r="A202" s="110"/>
    </row>
    <row r="203" spans="1:1" x14ac:dyDescent="0.35">
      <c r="A203" s="110"/>
    </row>
    <row r="204" spans="1:1" x14ac:dyDescent="0.35">
      <c r="A204" s="110"/>
    </row>
    <row r="205" spans="1:1" x14ac:dyDescent="0.35">
      <c r="A205" s="110"/>
    </row>
    <row r="206" spans="1:1" x14ac:dyDescent="0.35">
      <c r="A206" s="110"/>
    </row>
    <row r="207" spans="1:1" x14ac:dyDescent="0.35">
      <c r="A207" s="110"/>
    </row>
    <row r="208" spans="1:1" x14ac:dyDescent="0.35">
      <c r="A208" s="110"/>
    </row>
    <row r="209" spans="1:1" x14ac:dyDescent="0.35">
      <c r="A209" s="110"/>
    </row>
    <row r="210" spans="1:1" x14ac:dyDescent="0.35">
      <c r="A210" s="110"/>
    </row>
    <row r="211" spans="1:1" x14ac:dyDescent="0.35">
      <c r="A211" s="110"/>
    </row>
    <row r="212" spans="1:1" x14ac:dyDescent="0.35">
      <c r="A212" s="110"/>
    </row>
    <row r="213" spans="1:1" x14ac:dyDescent="0.35">
      <c r="A213" s="110"/>
    </row>
    <row r="214" spans="1:1" x14ac:dyDescent="0.35">
      <c r="A214" s="110"/>
    </row>
    <row r="215" spans="1:1" x14ac:dyDescent="0.35">
      <c r="A215" s="110"/>
    </row>
    <row r="216" spans="1:1" x14ac:dyDescent="0.35">
      <c r="A216" s="110"/>
    </row>
    <row r="217" spans="1:1" x14ac:dyDescent="0.35">
      <c r="A217" s="110"/>
    </row>
    <row r="218" spans="1:1" x14ac:dyDescent="0.35">
      <c r="A218" s="110"/>
    </row>
    <row r="219" spans="1:1" x14ac:dyDescent="0.35">
      <c r="A219" s="110"/>
    </row>
    <row r="220" spans="1:1" x14ac:dyDescent="0.35">
      <c r="A220" s="110"/>
    </row>
    <row r="221" spans="1:1" x14ac:dyDescent="0.35">
      <c r="A221" s="110"/>
    </row>
    <row r="222" spans="1:1" x14ac:dyDescent="0.35">
      <c r="A222" s="110"/>
    </row>
    <row r="223" spans="1:1" x14ac:dyDescent="0.35">
      <c r="A223" s="110"/>
    </row>
    <row r="224" spans="1:1" x14ac:dyDescent="0.35">
      <c r="A224" s="110"/>
    </row>
    <row r="225" spans="1:1" x14ac:dyDescent="0.35">
      <c r="A225" s="110"/>
    </row>
    <row r="226" spans="1:1" x14ac:dyDescent="0.35">
      <c r="A226" s="110"/>
    </row>
    <row r="227" spans="1:1" x14ac:dyDescent="0.35">
      <c r="A227" s="110"/>
    </row>
    <row r="228" spans="1:1" x14ac:dyDescent="0.35">
      <c r="A228" s="110"/>
    </row>
    <row r="229" spans="1:1" x14ac:dyDescent="0.35">
      <c r="A229" s="110"/>
    </row>
    <row r="230" spans="1:1" x14ac:dyDescent="0.35">
      <c r="A230" s="110"/>
    </row>
    <row r="231" spans="1:1" x14ac:dyDescent="0.35">
      <c r="A231" s="110"/>
    </row>
    <row r="232" spans="1:1" x14ac:dyDescent="0.35">
      <c r="A232" s="110"/>
    </row>
    <row r="233" spans="1:1" x14ac:dyDescent="0.35">
      <c r="A233" s="110"/>
    </row>
    <row r="234" spans="1:1" x14ac:dyDescent="0.35">
      <c r="A234" s="110"/>
    </row>
    <row r="235" spans="1:1" x14ac:dyDescent="0.35">
      <c r="A235" s="110"/>
    </row>
    <row r="236" spans="1:1" x14ac:dyDescent="0.35">
      <c r="A236" s="110"/>
    </row>
    <row r="237" spans="1:1" x14ac:dyDescent="0.35">
      <c r="A237" s="110"/>
    </row>
    <row r="238" spans="1:1" x14ac:dyDescent="0.35">
      <c r="A238" s="110"/>
    </row>
    <row r="239" spans="1:1" x14ac:dyDescent="0.35">
      <c r="A239" s="110"/>
    </row>
    <row r="240" spans="1:1" x14ac:dyDescent="0.35">
      <c r="A240" s="110"/>
    </row>
    <row r="241" spans="1:1" x14ac:dyDescent="0.35">
      <c r="A241" s="110"/>
    </row>
    <row r="242" spans="1:1" x14ac:dyDescent="0.35">
      <c r="A242" s="110"/>
    </row>
    <row r="243" spans="1:1" x14ac:dyDescent="0.35">
      <c r="A243" s="110"/>
    </row>
    <row r="244" spans="1:1" x14ac:dyDescent="0.35">
      <c r="A244" s="110"/>
    </row>
    <row r="245" spans="1:1" x14ac:dyDescent="0.35">
      <c r="A245" s="110"/>
    </row>
    <row r="246" spans="1:1" x14ac:dyDescent="0.35">
      <c r="A246" s="110"/>
    </row>
    <row r="247" spans="1:1" x14ac:dyDescent="0.35">
      <c r="A247" s="110"/>
    </row>
    <row r="248" spans="1:1" x14ac:dyDescent="0.35">
      <c r="A248" s="110"/>
    </row>
    <row r="249" spans="1:1" x14ac:dyDescent="0.35">
      <c r="A249" s="110"/>
    </row>
    <row r="250" spans="1:1" x14ac:dyDescent="0.35">
      <c r="A250" s="110"/>
    </row>
    <row r="251" spans="1:1" x14ac:dyDescent="0.35">
      <c r="A251" s="110"/>
    </row>
    <row r="252" spans="1:1" x14ac:dyDescent="0.35">
      <c r="A252" s="110"/>
    </row>
    <row r="253" spans="1:1" x14ac:dyDescent="0.35">
      <c r="A253" s="110"/>
    </row>
    <row r="254" spans="1:1" x14ac:dyDescent="0.35">
      <c r="A254" s="110"/>
    </row>
    <row r="255" spans="1:1" x14ac:dyDescent="0.35">
      <c r="A255" s="110"/>
    </row>
    <row r="256" spans="1:1" x14ac:dyDescent="0.35">
      <c r="A256" s="110"/>
    </row>
    <row r="257" spans="1:1" x14ac:dyDescent="0.35">
      <c r="A257" s="110"/>
    </row>
    <row r="258" spans="1:1" x14ac:dyDescent="0.35">
      <c r="A258" s="110"/>
    </row>
    <row r="259" spans="1:1" x14ac:dyDescent="0.35">
      <c r="A259" s="110"/>
    </row>
    <row r="260" spans="1:1" x14ac:dyDescent="0.35">
      <c r="A260" s="110"/>
    </row>
    <row r="261" spans="1:1" x14ac:dyDescent="0.35">
      <c r="A261" s="110"/>
    </row>
    <row r="262" spans="1:1" x14ac:dyDescent="0.35">
      <c r="A262" s="110"/>
    </row>
    <row r="263" spans="1:1" x14ac:dyDescent="0.35">
      <c r="A263" s="110"/>
    </row>
    <row r="264" spans="1:1" x14ac:dyDescent="0.35">
      <c r="A264" s="110"/>
    </row>
    <row r="265" spans="1:1" x14ac:dyDescent="0.35">
      <c r="A265" s="110"/>
    </row>
    <row r="266" spans="1:1" x14ac:dyDescent="0.35">
      <c r="A266" s="110"/>
    </row>
    <row r="267" spans="1:1" x14ac:dyDescent="0.35">
      <c r="A267" s="110"/>
    </row>
    <row r="268" spans="1:1" x14ac:dyDescent="0.35">
      <c r="A268" s="110"/>
    </row>
    <row r="269" spans="1:1" x14ac:dyDescent="0.35">
      <c r="A269" s="110"/>
    </row>
    <row r="270" spans="1:1" x14ac:dyDescent="0.35">
      <c r="A270" s="110"/>
    </row>
    <row r="271" spans="1:1" x14ac:dyDescent="0.35">
      <c r="A271" s="110"/>
    </row>
    <row r="272" spans="1:1" x14ac:dyDescent="0.35">
      <c r="A272" s="110"/>
    </row>
    <row r="273" spans="1:1" x14ac:dyDescent="0.35">
      <c r="A273" s="110"/>
    </row>
    <row r="274" spans="1:1" x14ac:dyDescent="0.35">
      <c r="A274" s="110"/>
    </row>
    <row r="275" spans="1:1" x14ac:dyDescent="0.35">
      <c r="A275" s="110"/>
    </row>
    <row r="276" spans="1:1" x14ac:dyDescent="0.35">
      <c r="A276" s="110"/>
    </row>
    <row r="277" spans="1:1" x14ac:dyDescent="0.35">
      <c r="A277" s="110"/>
    </row>
    <row r="278" spans="1:1" x14ac:dyDescent="0.35">
      <c r="A278" s="110"/>
    </row>
    <row r="279" spans="1:1" x14ac:dyDescent="0.35">
      <c r="A279" s="110"/>
    </row>
    <row r="280" spans="1:1" x14ac:dyDescent="0.35">
      <c r="A280" s="110"/>
    </row>
    <row r="281" spans="1:1" x14ac:dyDescent="0.35">
      <c r="A281" s="110"/>
    </row>
    <row r="282" spans="1:1" x14ac:dyDescent="0.35">
      <c r="A282" s="110"/>
    </row>
    <row r="283" spans="1:1" x14ac:dyDescent="0.35">
      <c r="A283" s="110"/>
    </row>
    <row r="284" spans="1:1" x14ac:dyDescent="0.35">
      <c r="A284" s="110"/>
    </row>
    <row r="285" spans="1:1" x14ac:dyDescent="0.35">
      <c r="A285" s="110"/>
    </row>
    <row r="286" spans="1:1" x14ac:dyDescent="0.35">
      <c r="A286" s="110"/>
    </row>
    <row r="287" spans="1:1" x14ac:dyDescent="0.35">
      <c r="A287" s="110"/>
    </row>
    <row r="288" spans="1:1" x14ac:dyDescent="0.35">
      <c r="A288" s="110"/>
    </row>
    <row r="289" spans="1:1" x14ac:dyDescent="0.35">
      <c r="A289" s="110"/>
    </row>
    <row r="290" spans="1:1" x14ac:dyDescent="0.35">
      <c r="A290" s="110"/>
    </row>
    <row r="291" spans="1:1" x14ac:dyDescent="0.35">
      <c r="A291" s="110"/>
    </row>
    <row r="292" spans="1:1" x14ac:dyDescent="0.35">
      <c r="A292" s="110"/>
    </row>
    <row r="293" spans="1:1" x14ac:dyDescent="0.35">
      <c r="A293" s="110"/>
    </row>
    <row r="294" spans="1:1" x14ac:dyDescent="0.35">
      <c r="A294" s="110"/>
    </row>
    <row r="295" spans="1:1" x14ac:dyDescent="0.35">
      <c r="A295" s="110"/>
    </row>
    <row r="296" spans="1:1" x14ac:dyDescent="0.35">
      <c r="A296" s="110"/>
    </row>
    <row r="297" spans="1:1" x14ac:dyDescent="0.35">
      <c r="A297" s="110"/>
    </row>
    <row r="298" spans="1:1" x14ac:dyDescent="0.35">
      <c r="A298" s="110"/>
    </row>
    <row r="299" spans="1:1" x14ac:dyDescent="0.35">
      <c r="A299" s="110"/>
    </row>
    <row r="300" spans="1:1" x14ac:dyDescent="0.35">
      <c r="A300" s="110"/>
    </row>
    <row r="301" spans="1:1" x14ac:dyDescent="0.35">
      <c r="A301" s="110"/>
    </row>
    <row r="302" spans="1:1" x14ac:dyDescent="0.35">
      <c r="A302" s="110"/>
    </row>
    <row r="303" spans="1:1" x14ac:dyDescent="0.35">
      <c r="A303" s="110"/>
    </row>
    <row r="304" spans="1:1" x14ac:dyDescent="0.35">
      <c r="A304" s="110"/>
    </row>
    <row r="305" spans="1:1" x14ac:dyDescent="0.35">
      <c r="A305" s="110"/>
    </row>
    <row r="306" spans="1:1" x14ac:dyDescent="0.35">
      <c r="A306" s="110"/>
    </row>
    <row r="307" spans="1:1" x14ac:dyDescent="0.35">
      <c r="A307" s="110"/>
    </row>
    <row r="308" spans="1:1" x14ac:dyDescent="0.35">
      <c r="A308" s="110"/>
    </row>
    <row r="309" spans="1:1" x14ac:dyDescent="0.35">
      <c r="A309" s="110"/>
    </row>
    <row r="310" spans="1:1" x14ac:dyDescent="0.35">
      <c r="A310" s="110"/>
    </row>
    <row r="311" spans="1:1" x14ac:dyDescent="0.35">
      <c r="A311" s="110"/>
    </row>
    <row r="312" spans="1:1" x14ac:dyDescent="0.35">
      <c r="A312" s="110"/>
    </row>
    <row r="313" spans="1:1" x14ac:dyDescent="0.35">
      <c r="A313" s="110"/>
    </row>
    <row r="314" spans="1:1" x14ac:dyDescent="0.35">
      <c r="A314" s="110"/>
    </row>
    <row r="315" spans="1:1" x14ac:dyDescent="0.35">
      <c r="A315" s="110"/>
    </row>
    <row r="316" spans="1:1" x14ac:dyDescent="0.35">
      <c r="A316" s="110"/>
    </row>
    <row r="317" spans="1:1" x14ac:dyDescent="0.35">
      <c r="A317" s="110"/>
    </row>
    <row r="318" spans="1:1" x14ac:dyDescent="0.35">
      <c r="A318" s="110"/>
    </row>
    <row r="319" spans="1:1" x14ac:dyDescent="0.35">
      <c r="A319" s="110"/>
    </row>
    <row r="320" spans="1:1" x14ac:dyDescent="0.35">
      <c r="A320" s="110"/>
    </row>
    <row r="321" spans="1:1" x14ac:dyDescent="0.35">
      <c r="A321" s="110"/>
    </row>
    <row r="322" spans="1:1" x14ac:dyDescent="0.35">
      <c r="A322" s="110"/>
    </row>
    <row r="323" spans="1:1" x14ac:dyDescent="0.35">
      <c r="A323" s="110"/>
    </row>
    <row r="324" spans="1:1" x14ac:dyDescent="0.35">
      <c r="A324" s="110"/>
    </row>
    <row r="325" spans="1:1" x14ac:dyDescent="0.35">
      <c r="A325" s="110"/>
    </row>
    <row r="326" spans="1:1" x14ac:dyDescent="0.35">
      <c r="A326" s="110"/>
    </row>
    <row r="327" spans="1:1" x14ac:dyDescent="0.35">
      <c r="A327" s="110"/>
    </row>
    <row r="328" spans="1:1" x14ac:dyDescent="0.35">
      <c r="A328" s="110"/>
    </row>
    <row r="329" spans="1:1" x14ac:dyDescent="0.35">
      <c r="A329" s="110"/>
    </row>
    <row r="330" spans="1:1" x14ac:dyDescent="0.35">
      <c r="A330" s="110"/>
    </row>
    <row r="331" spans="1:1" x14ac:dyDescent="0.35">
      <c r="A331" s="110"/>
    </row>
    <row r="332" spans="1:1" x14ac:dyDescent="0.35">
      <c r="A332" s="110"/>
    </row>
    <row r="333" spans="1:1" x14ac:dyDescent="0.35">
      <c r="A333" s="110"/>
    </row>
    <row r="334" spans="1:1" x14ac:dyDescent="0.35">
      <c r="A334" s="110"/>
    </row>
    <row r="335" spans="1:1" x14ac:dyDescent="0.35">
      <c r="A335" s="110"/>
    </row>
    <row r="336" spans="1:1" x14ac:dyDescent="0.35">
      <c r="A336" s="110"/>
    </row>
    <row r="337" spans="1:1" x14ac:dyDescent="0.35">
      <c r="A337" s="110"/>
    </row>
    <row r="338" spans="1:1" x14ac:dyDescent="0.35">
      <c r="A338" s="110"/>
    </row>
    <row r="339" spans="1:1" x14ac:dyDescent="0.35">
      <c r="A339" s="110"/>
    </row>
    <row r="340" spans="1:1" x14ac:dyDescent="0.35">
      <c r="A340" s="110"/>
    </row>
    <row r="341" spans="1:1" x14ac:dyDescent="0.35">
      <c r="A341" s="110"/>
    </row>
    <row r="342" spans="1:1" x14ac:dyDescent="0.35">
      <c r="A342" s="110"/>
    </row>
    <row r="343" spans="1:1" x14ac:dyDescent="0.35">
      <c r="A343" s="110"/>
    </row>
    <row r="344" spans="1:1" x14ac:dyDescent="0.35">
      <c r="A344" s="110"/>
    </row>
    <row r="345" spans="1:1" x14ac:dyDescent="0.35">
      <c r="A345" s="110"/>
    </row>
    <row r="346" spans="1:1" x14ac:dyDescent="0.35">
      <c r="A346" s="110"/>
    </row>
    <row r="347" spans="1:1" x14ac:dyDescent="0.35">
      <c r="A347" s="110"/>
    </row>
    <row r="348" spans="1:1" x14ac:dyDescent="0.35">
      <c r="A348" s="110"/>
    </row>
    <row r="349" spans="1:1" x14ac:dyDescent="0.35">
      <c r="A349" s="110"/>
    </row>
    <row r="350" spans="1:1" x14ac:dyDescent="0.35">
      <c r="A350" s="110"/>
    </row>
    <row r="351" spans="1:1" x14ac:dyDescent="0.35">
      <c r="A351" s="110"/>
    </row>
    <row r="352" spans="1:1" x14ac:dyDescent="0.35">
      <c r="A352" s="110"/>
    </row>
    <row r="353" spans="1:1" x14ac:dyDescent="0.35">
      <c r="A353" s="110"/>
    </row>
    <row r="354" spans="1:1" x14ac:dyDescent="0.35">
      <c r="A354" s="110"/>
    </row>
    <row r="355" spans="1:1" x14ac:dyDescent="0.35">
      <c r="A355" s="110"/>
    </row>
    <row r="356" spans="1:1" x14ac:dyDescent="0.35">
      <c r="A356" s="110"/>
    </row>
    <row r="357" spans="1:1" x14ac:dyDescent="0.35">
      <c r="A357" s="110"/>
    </row>
    <row r="358" spans="1:1" x14ac:dyDescent="0.35">
      <c r="A358" s="110"/>
    </row>
    <row r="359" spans="1:1" x14ac:dyDescent="0.35">
      <c r="A359" s="110"/>
    </row>
    <row r="360" spans="1:1" x14ac:dyDescent="0.35">
      <c r="A360" s="110"/>
    </row>
    <row r="361" spans="1:1" x14ac:dyDescent="0.35">
      <c r="A361" s="110"/>
    </row>
    <row r="362" spans="1:1" x14ac:dyDescent="0.35">
      <c r="A362" s="110"/>
    </row>
    <row r="363" spans="1:1" x14ac:dyDescent="0.35">
      <c r="A363" s="110"/>
    </row>
    <row r="364" spans="1:1" x14ac:dyDescent="0.35">
      <c r="A364" s="110"/>
    </row>
    <row r="365" spans="1:1" x14ac:dyDescent="0.35">
      <c r="A365" s="110"/>
    </row>
    <row r="366" spans="1:1" x14ac:dyDescent="0.35">
      <c r="A366" s="110"/>
    </row>
    <row r="367" spans="1:1" x14ac:dyDescent="0.35">
      <c r="A367" s="110"/>
    </row>
    <row r="368" spans="1:1" x14ac:dyDescent="0.35">
      <c r="A368" s="110"/>
    </row>
    <row r="369" spans="1:1" x14ac:dyDescent="0.35">
      <c r="A369" s="110"/>
    </row>
    <row r="370" spans="1:1" x14ac:dyDescent="0.35">
      <c r="A370" s="110"/>
    </row>
    <row r="371" spans="1:1" x14ac:dyDescent="0.35">
      <c r="A371" s="110"/>
    </row>
    <row r="372" spans="1:1" x14ac:dyDescent="0.35">
      <c r="A372" s="110"/>
    </row>
    <row r="373" spans="1:1" x14ac:dyDescent="0.35">
      <c r="A373" s="110"/>
    </row>
    <row r="374" spans="1:1" x14ac:dyDescent="0.35">
      <c r="A374" s="110"/>
    </row>
    <row r="375" spans="1:1" x14ac:dyDescent="0.35">
      <c r="A375" s="110"/>
    </row>
    <row r="376" spans="1:1" x14ac:dyDescent="0.35">
      <c r="A376" s="110"/>
    </row>
    <row r="377" spans="1:1" x14ac:dyDescent="0.35">
      <c r="A377" s="110"/>
    </row>
    <row r="378" spans="1:1" x14ac:dyDescent="0.35">
      <c r="A378" s="110"/>
    </row>
    <row r="379" spans="1:1" x14ac:dyDescent="0.35">
      <c r="A379" s="110"/>
    </row>
    <row r="380" spans="1:1" x14ac:dyDescent="0.35">
      <c r="A380" s="110"/>
    </row>
    <row r="381" spans="1:1" x14ac:dyDescent="0.35">
      <c r="A381" s="110"/>
    </row>
    <row r="382" spans="1:1" x14ac:dyDescent="0.35">
      <c r="A382" s="110"/>
    </row>
    <row r="383" spans="1:1" x14ac:dyDescent="0.35">
      <c r="A383" s="110"/>
    </row>
    <row r="384" spans="1:1" x14ac:dyDescent="0.35">
      <c r="A384" s="110"/>
    </row>
    <row r="385" spans="1:1" x14ac:dyDescent="0.35">
      <c r="A385" s="110"/>
    </row>
    <row r="386" spans="1:1" x14ac:dyDescent="0.35">
      <c r="A386" s="110"/>
    </row>
    <row r="387" spans="1:1" x14ac:dyDescent="0.35">
      <c r="A387" s="110"/>
    </row>
    <row r="388" spans="1:1" x14ac:dyDescent="0.35">
      <c r="A388" s="110"/>
    </row>
    <row r="389" spans="1:1" x14ac:dyDescent="0.35">
      <c r="A389" s="110"/>
    </row>
    <row r="390" spans="1:1" x14ac:dyDescent="0.35">
      <c r="A390" s="110"/>
    </row>
    <row r="391" spans="1:1" x14ac:dyDescent="0.35">
      <c r="A391" s="110"/>
    </row>
    <row r="392" spans="1:1" x14ac:dyDescent="0.35">
      <c r="A392" s="110"/>
    </row>
    <row r="393" spans="1:1" x14ac:dyDescent="0.35">
      <c r="A393" s="110"/>
    </row>
    <row r="394" spans="1:1" x14ac:dyDescent="0.35">
      <c r="A394" s="110"/>
    </row>
    <row r="395" spans="1:1" x14ac:dyDescent="0.35">
      <c r="A395" s="110"/>
    </row>
    <row r="396" spans="1:1" x14ac:dyDescent="0.35">
      <c r="A396" s="110"/>
    </row>
    <row r="397" spans="1:1" x14ac:dyDescent="0.35">
      <c r="A397" s="110"/>
    </row>
    <row r="398" spans="1:1" x14ac:dyDescent="0.35">
      <c r="A398" s="110"/>
    </row>
    <row r="399" spans="1:1" x14ac:dyDescent="0.35">
      <c r="A399" s="110"/>
    </row>
    <row r="400" spans="1:1" x14ac:dyDescent="0.35">
      <c r="A400" s="110"/>
    </row>
    <row r="401" spans="1:1" x14ac:dyDescent="0.35">
      <c r="A401" s="110"/>
    </row>
    <row r="402" spans="1:1" x14ac:dyDescent="0.35">
      <c r="A402" s="110"/>
    </row>
    <row r="403" spans="1:1" x14ac:dyDescent="0.35">
      <c r="A403" s="110"/>
    </row>
    <row r="404" spans="1:1" x14ac:dyDescent="0.35">
      <c r="A404" s="110"/>
    </row>
    <row r="405" spans="1:1" x14ac:dyDescent="0.35">
      <c r="A405" s="110"/>
    </row>
    <row r="406" spans="1:1" x14ac:dyDescent="0.35">
      <c r="A406" s="110"/>
    </row>
    <row r="407" spans="1:1" x14ac:dyDescent="0.35">
      <c r="A407" s="110"/>
    </row>
    <row r="408" spans="1:1" x14ac:dyDescent="0.35">
      <c r="A408" s="110"/>
    </row>
    <row r="409" spans="1:1" x14ac:dyDescent="0.35">
      <c r="A409" s="110"/>
    </row>
    <row r="410" spans="1:1" x14ac:dyDescent="0.35">
      <c r="A410" s="110"/>
    </row>
    <row r="411" spans="1:1" x14ac:dyDescent="0.35">
      <c r="A411" s="110"/>
    </row>
    <row r="412" spans="1:1" x14ac:dyDescent="0.35">
      <c r="A412" s="110"/>
    </row>
    <row r="413" spans="1:1" x14ac:dyDescent="0.35">
      <c r="A413" s="110"/>
    </row>
    <row r="414" spans="1:1" x14ac:dyDescent="0.35">
      <c r="A414" s="110"/>
    </row>
    <row r="415" spans="1:1" x14ac:dyDescent="0.35">
      <c r="A415" s="110"/>
    </row>
    <row r="416" spans="1:1" x14ac:dyDescent="0.35">
      <c r="A416" s="110"/>
    </row>
    <row r="417" spans="1:1" x14ac:dyDescent="0.35">
      <c r="A417" s="110"/>
    </row>
    <row r="418" spans="1:1" x14ac:dyDescent="0.35">
      <c r="A418" s="110"/>
    </row>
    <row r="419" spans="1:1" x14ac:dyDescent="0.35">
      <c r="A419" s="110"/>
    </row>
    <row r="420" spans="1:1" x14ac:dyDescent="0.35">
      <c r="A420" s="110"/>
    </row>
    <row r="421" spans="1:1" x14ac:dyDescent="0.35">
      <c r="A421" s="110"/>
    </row>
    <row r="422" spans="1:1" x14ac:dyDescent="0.35">
      <c r="A422" s="110"/>
    </row>
    <row r="423" spans="1:1" x14ac:dyDescent="0.35">
      <c r="A423" s="110"/>
    </row>
    <row r="424" spans="1:1" x14ac:dyDescent="0.35">
      <c r="A424" s="110"/>
    </row>
    <row r="425" spans="1:1" x14ac:dyDescent="0.35">
      <c r="A425" s="110"/>
    </row>
    <row r="426" spans="1:1" x14ac:dyDescent="0.35">
      <c r="A426" s="110"/>
    </row>
    <row r="427" spans="1:1" x14ac:dyDescent="0.35">
      <c r="A427" s="110"/>
    </row>
    <row r="428" spans="1:1" x14ac:dyDescent="0.35">
      <c r="A428" s="110"/>
    </row>
    <row r="429" spans="1:1" x14ac:dyDescent="0.35">
      <c r="A429" s="110"/>
    </row>
    <row r="430" spans="1:1" x14ac:dyDescent="0.35">
      <c r="A430" s="110"/>
    </row>
    <row r="431" spans="1:1" x14ac:dyDescent="0.35">
      <c r="A431" s="110"/>
    </row>
    <row r="432" spans="1:1" x14ac:dyDescent="0.35">
      <c r="A432" s="110"/>
    </row>
    <row r="433" spans="1:1" x14ac:dyDescent="0.35">
      <c r="A433" s="110"/>
    </row>
    <row r="434" spans="1:1" x14ac:dyDescent="0.35">
      <c r="A434" s="110"/>
    </row>
    <row r="435" spans="1:1" x14ac:dyDescent="0.35">
      <c r="A435" s="110"/>
    </row>
    <row r="436" spans="1:1" x14ac:dyDescent="0.35">
      <c r="A436" s="110"/>
    </row>
    <row r="437" spans="1:1" x14ac:dyDescent="0.35">
      <c r="A437" s="110"/>
    </row>
    <row r="438" spans="1:1" x14ac:dyDescent="0.35">
      <c r="A438" s="110"/>
    </row>
    <row r="439" spans="1:1" x14ac:dyDescent="0.35">
      <c r="A439" s="110"/>
    </row>
    <row r="440" spans="1:1" x14ac:dyDescent="0.35">
      <c r="A440" s="110"/>
    </row>
    <row r="441" spans="1:1" x14ac:dyDescent="0.35">
      <c r="A441" s="110"/>
    </row>
    <row r="442" spans="1:1" x14ac:dyDescent="0.35">
      <c r="A442" s="110"/>
    </row>
    <row r="443" spans="1:1" x14ac:dyDescent="0.35">
      <c r="A443" s="110"/>
    </row>
    <row r="444" spans="1:1" x14ac:dyDescent="0.35">
      <c r="A444" s="110"/>
    </row>
    <row r="445" spans="1:1" x14ac:dyDescent="0.35">
      <c r="A445" s="110"/>
    </row>
    <row r="446" spans="1:1" x14ac:dyDescent="0.35">
      <c r="A446" s="110"/>
    </row>
    <row r="447" spans="1:1" x14ac:dyDescent="0.35">
      <c r="A447" s="110"/>
    </row>
    <row r="448" spans="1:1" x14ac:dyDescent="0.35">
      <c r="A448" s="110"/>
    </row>
    <row r="449" spans="1:1" x14ac:dyDescent="0.35">
      <c r="A449" s="110"/>
    </row>
    <row r="450" spans="1:1" x14ac:dyDescent="0.35">
      <c r="A450" s="110"/>
    </row>
    <row r="451" spans="1:1" x14ac:dyDescent="0.35">
      <c r="A451" s="110"/>
    </row>
    <row r="452" spans="1:1" x14ac:dyDescent="0.35">
      <c r="A452" s="110"/>
    </row>
    <row r="453" spans="1:1" x14ac:dyDescent="0.35">
      <c r="A453" s="110"/>
    </row>
    <row r="454" spans="1:1" x14ac:dyDescent="0.35">
      <c r="A454" s="110"/>
    </row>
    <row r="455" spans="1:1" x14ac:dyDescent="0.35">
      <c r="A455" s="110"/>
    </row>
    <row r="456" spans="1:1" x14ac:dyDescent="0.35">
      <c r="A456" s="110"/>
    </row>
    <row r="457" spans="1:1" x14ac:dyDescent="0.35">
      <c r="A457" s="110"/>
    </row>
    <row r="458" spans="1:1" x14ac:dyDescent="0.35">
      <c r="A458" s="110"/>
    </row>
    <row r="459" spans="1:1" x14ac:dyDescent="0.35">
      <c r="A459" s="110"/>
    </row>
    <row r="460" spans="1:1" x14ac:dyDescent="0.35">
      <c r="A460" s="110"/>
    </row>
    <row r="461" spans="1:1" x14ac:dyDescent="0.35">
      <c r="A461" s="110"/>
    </row>
    <row r="462" spans="1:1" x14ac:dyDescent="0.35">
      <c r="A462" s="110"/>
    </row>
    <row r="463" spans="1:1" x14ac:dyDescent="0.35">
      <c r="A463" s="110"/>
    </row>
    <row r="464" spans="1:1" x14ac:dyDescent="0.35">
      <c r="A464" s="110"/>
    </row>
    <row r="465" spans="1:1" x14ac:dyDescent="0.35">
      <c r="A465" s="110"/>
    </row>
    <row r="466" spans="1:1" x14ac:dyDescent="0.35">
      <c r="A466" s="110"/>
    </row>
    <row r="467" spans="1:1" x14ac:dyDescent="0.35">
      <c r="A467" s="110"/>
    </row>
    <row r="468" spans="1:1" x14ac:dyDescent="0.35">
      <c r="A468" s="110"/>
    </row>
    <row r="469" spans="1:1" x14ac:dyDescent="0.35">
      <c r="A469" s="110"/>
    </row>
    <row r="470" spans="1:1" x14ac:dyDescent="0.35">
      <c r="A470" s="110"/>
    </row>
    <row r="471" spans="1:1" x14ac:dyDescent="0.35">
      <c r="A471" s="110"/>
    </row>
    <row r="472" spans="1:1" x14ac:dyDescent="0.35">
      <c r="A472" s="110"/>
    </row>
    <row r="473" spans="1:1" x14ac:dyDescent="0.35">
      <c r="A473" s="110"/>
    </row>
    <row r="474" spans="1:1" x14ac:dyDescent="0.35">
      <c r="A474" s="110"/>
    </row>
    <row r="475" spans="1:1" x14ac:dyDescent="0.35">
      <c r="A475" s="110"/>
    </row>
    <row r="476" spans="1:1" x14ac:dyDescent="0.35">
      <c r="A476" s="110"/>
    </row>
    <row r="477" spans="1:1" x14ac:dyDescent="0.35">
      <c r="A477" s="110"/>
    </row>
    <row r="478" spans="1:1" x14ac:dyDescent="0.35">
      <c r="A478" s="110"/>
    </row>
    <row r="479" spans="1:1" x14ac:dyDescent="0.35">
      <c r="A479" s="110"/>
    </row>
    <row r="480" spans="1:1" x14ac:dyDescent="0.35">
      <c r="A480" s="110"/>
    </row>
    <row r="481" spans="1:1" x14ac:dyDescent="0.35">
      <c r="A481" s="110"/>
    </row>
    <row r="482" spans="1:1" x14ac:dyDescent="0.35">
      <c r="A482" s="110"/>
    </row>
    <row r="483" spans="1:1" x14ac:dyDescent="0.35">
      <c r="A483" s="110"/>
    </row>
    <row r="484" spans="1:1" x14ac:dyDescent="0.35">
      <c r="A484" s="110"/>
    </row>
    <row r="485" spans="1:1" x14ac:dyDescent="0.35">
      <c r="A485" s="110"/>
    </row>
    <row r="486" spans="1:1" x14ac:dyDescent="0.35">
      <c r="A486" s="110"/>
    </row>
    <row r="487" spans="1:1" x14ac:dyDescent="0.35">
      <c r="A487" s="110"/>
    </row>
    <row r="488" spans="1:1" x14ac:dyDescent="0.35">
      <c r="A488" s="110"/>
    </row>
    <row r="489" spans="1:1" x14ac:dyDescent="0.35">
      <c r="A489" s="110"/>
    </row>
  </sheetData>
  <mergeCells count="1">
    <mergeCell ref="B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B265-24F7-4618-A395-CD8B6275487C}">
  <dimension ref="A1:J7"/>
  <sheetViews>
    <sheetView workbookViewId="0">
      <selection activeCell="A2" sqref="A2"/>
    </sheetView>
  </sheetViews>
  <sheetFormatPr baseColWidth="10" defaultColWidth="8.6328125" defaultRowHeight="14.5" x14ac:dyDescent="0.35"/>
  <cols>
    <col min="1" max="1" width="11.6328125" customWidth="1"/>
    <col min="2" max="10" width="9.6328125" bestFit="1" customWidth="1"/>
    <col min="11" max="11" width="8.6328125" bestFit="1" customWidth="1"/>
  </cols>
  <sheetData>
    <row r="1" spans="1:10" x14ac:dyDescent="0.35">
      <c r="A1" s="123" t="s">
        <v>102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0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8.5" x14ac:dyDescent="0.45">
      <c r="A3" s="36">
        <f>'Expected Return'!B68</f>
        <v>0.2472953143170154</v>
      </c>
      <c r="B3" s="36">
        <f>'Expected Return'!C68</f>
        <v>0.29948174145941231</v>
      </c>
      <c r="C3" s="36">
        <f>'Expected Return'!D68</f>
        <v>0.33980220649504922</v>
      </c>
      <c r="D3" s="36">
        <f>'Expected Return'!E68</f>
        <v>0.26853175067343665</v>
      </c>
      <c r="E3" s="36">
        <f>'Expected Return'!F68</f>
        <v>0.23648877116817144</v>
      </c>
      <c r="F3" s="36">
        <f>'Expected Return'!G68</f>
        <v>0.41224266154024941</v>
      </c>
      <c r="G3" s="36">
        <f>'Expected Return'!H68</f>
        <v>0.21448549220599075</v>
      </c>
      <c r="H3" s="36">
        <f>'Expected Return'!I68</f>
        <v>0.4849271067195397</v>
      </c>
      <c r="I3" s="36">
        <f>'Expected Return'!J68</f>
        <v>0.34281179083921143</v>
      </c>
      <c r="J3" s="36">
        <f>'Expected Return'!K68</f>
        <v>0.60552896536106982</v>
      </c>
    </row>
    <row r="7" spans="1:10" x14ac:dyDescent="0.35">
      <c r="C7" s="9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D82C-4F95-4F81-8B5D-B2DC5AEF8CBC}">
  <dimension ref="B3:AI43"/>
  <sheetViews>
    <sheetView tabSelected="1" zoomScale="78" workbookViewId="0">
      <selection activeCell="AG46" sqref="AG46"/>
    </sheetView>
  </sheetViews>
  <sheetFormatPr baseColWidth="10" defaultColWidth="8.6328125" defaultRowHeight="14.5" x14ac:dyDescent="0.35"/>
  <cols>
    <col min="2" max="2" width="20.36328125" customWidth="1"/>
    <col min="3" max="3" width="9.6328125" bestFit="1" customWidth="1"/>
    <col min="4" max="4" width="13.81640625" customWidth="1"/>
    <col min="5" max="5" width="12" bestFit="1" customWidth="1"/>
    <col min="6" max="7" width="9.6328125" bestFit="1" customWidth="1"/>
    <col min="8" max="8" width="10" bestFit="1" customWidth="1"/>
    <col min="9" max="12" width="9.6328125" bestFit="1" customWidth="1"/>
    <col min="13" max="13" width="9.453125" bestFit="1" customWidth="1"/>
    <col min="14" max="14" width="14.453125" bestFit="1" customWidth="1"/>
    <col min="15" max="16" width="8.81640625" bestFit="1" customWidth="1"/>
    <col min="17" max="17" width="21.453125" bestFit="1" customWidth="1"/>
    <col min="18" max="18" width="8.81640625" bestFit="1" customWidth="1"/>
    <col min="19" max="19" width="20.81640625" bestFit="1" customWidth="1"/>
    <col min="20" max="25" width="8.453125" style="21" bestFit="1" customWidth="1"/>
    <col min="26" max="26" width="9.1796875" style="21" bestFit="1" customWidth="1"/>
    <col min="27" max="28" width="8.453125" style="21" bestFit="1" customWidth="1"/>
    <col min="29" max="30" width="8.6328125" style="21"/>
    <col min="31" max="31" width="4.81640625" style="21" bestFit="1" customWidth="1"/>
    <col min="32" max="32" width="6.453125" style="21" bestFit="1" customWidth="1"/>
    <col min="33" max="33" width="20.453125" customWidth="1"/>
    <col min="34" max="34" width="5.453125" bestFit="1" customWidth="1"/>
    <col min="35" max="35" width="6" style="21" bestFit="1" customWidth="1"/>
  </cols>
  <sheetData>
    <row r="3" spans="2:35" ht="18.5" x14ac:dyDescent="0.45">
      <c r="B3" s="26" t="s">
        <v>18</v>
      </c>
      <c r="E3" s="116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</row>
    <row r="4" spans="2:35" x14ac:dyDescent="0.35">
      <c r="D4" s="24" t="s">
        <v>1</v>
      </c>
      <c r="E4" s="37">
        <f>VARP('Expected Return'!$B$3:$B$63)</f>
        <v>5.0127026625533958E-3</v>
      </c>
      <c r="F4" s="37">
        <v>3.4166011959045699E-3</v>
      </c>
      <c r="G4" s="37">
        <v>2.8859182525303199E-3</v>
      </c>
      <c r="H4" s="37">
        <v>2.3801412485842154E-3</v>
      </c>
      <c r="I4" s="37">
        <v>1.9422611636153151E-3</v>
      </c>
      <c r="J4" s="37">
        <v>2.0103694652037333E-3</v>
      </c>
      <c r="K4" s="37">
        <v>2.3098488196704372E-3</v>
      </c>
      <c r="L4" s="37">
        <v>5.2545309721092979E-3</v>
      </c>
      <c r="M4" s="37">
        <v>2.9820700984561155E-3</v>
      </c>
      <c r="N4" s="37">
        <v>7.104421931280666E-3</v>
      </c>
    </row>
    <row r="5" spans="2:35" x14ac:dyDescent="0.35">
      <c r="D5" s="24" t="s">
        <v>2</v>
      </c>
      <c r="E5" s="37">
        <v>3.4166011959045725E-3</v>
      </c>
      <c r="F5" s="37">
        <f>VARP('Expected Return'!$C$3:$C$63)</f>
        <v>7.474109455630192E-3</v>
      </c>
      <c r="G5" s="37">
        <v>4.4280013276161469E-3</v>
      </c>
      <c r="H5" s="37">
        <v>4.2508733699102878E-3</v>
      </c>
      <c r="I5" s="37">
        <v>1.5989340269027649E-3</v>
      </c>
      <c r="J5" s="37">
        <v>4.8671486351026952E-3</v>
      </c>
      <c r="K5" s="37">
        <v>3.5317041344260238E-3</v>
      </c>
      <c r="L5" s="37">
        <v>8.408139366259124E-3</v>
      </c>
      <c r="M5" s="37">
        <v>3.8913777727078362E-3</v>
      </c>
      <c r="N5" s="37">
        <v>8.8870295594142418E-3</v>
      </c>
    </row>
    <row r="6" spans="2:35" x14ac:dyDescent="0.35">
      <c r="D6" s="24" t="s">
        <v>3</v>
      </c>
      <c r="E6" s="37">
        <v>2.8859182525303182E-3</v>
      </c>
      <c r="F6" s="37">
        <v>4.4280013276161469E-3</v>
      </c>
      <c r="G6" s="37">
        <f>VARP('Expected Return'!$D$3:$D$63)</f>
        <v>9.6221282949086728E-3</v>
      </c>
      <c r="H6" s="37">
        <v>4.3102941631888948E-3</v>
      </c>
      <c r="I6" s="37">
        <v>1.9556877076688183E-3</v>
      </c>
      <c r="J6" s="37">
        <v>4.3341974352372348E-3</v>
      </c>
      <c r="K6" s="37">
        <v>3.5713869375076789E-3</v>
      </c>
      <c r="L6" s="37">
        <v>7.6542008523920952E-3</v>
      </c>
      <c r="M6" s="37">
        <v>4.2759542387746487E-3</v>
      </c>
      <c r="N6" s="37">
        <v>6.9652438059735686E-3</v>
      </c>
    </row>
    <row r="7" spans="2:35" x14ac:dyDescent="0.35">
      <c r="D7" s="24" t="s">
        <v>4</v>
      </c>
      <c r="E7" s="37">
        <v>2.3801412485842154E-3</v>
      </c>
      <c r="F7" s="37">
        <v>4.2508733699102878E-3</v>
      </c>
      <c r="G7" s="37">
        <v>4.3102941631888948E-3</v>
      </c>
      <c r="H7" s="37">
        <f>VARP('Expected Return'!$E$3:$E$63)</f>
        <v>6.0091084266450647E-3</v>
      </c>
      <c r="I7" s="37">
        <v>8.465263270825479E-4</v>
      </c>
      <c r="J7" s="37">
        <v>3.2294897832164712E-3</v>
      </c>
      <c r="K7" s="37">
        <v>2.7771744848461583E-3</v>
      </c>
      <c r="L7" s="37">
        <v>5.8758385532837656E-3</v>
      </c>
      <c r="M7" s="37">
        <v>3.1718374849380943E-3</v>
      </c>
      <c r="N7" s="37">
        <v>6.1772716854453062E-3</v>
      </c>
    </row>
    <row r="8" spans="2:35" x14ac:dyDescent="0.35">
      <c r="D8" s="24" t="s">
        <v>5</v>
      </c>
      <c r="E8" s="37">
        <v>1.9422611636153151E-3</v>
      </c>
      <c r="F8" s="37">
        <v>1.5989340269027649E-3</v>
      </c>
      <c r="G8" s="37">
        <v>1.9556877076688183E-3</v>
      </c>
      <c r="H8" s="37">
        <v>8.465263270825479E-4</v>
      </c>
      <c r="I8" s="37">
        <f>VARP('Expected Return'!$F$3:$F$63)</f>
        <v>4.6605782407193137E-3</v>
      </c>
      <c r="J8" s="37">
        <v>1.8812430321481141E-3</v>
      </c>
      <c r="K8" s="37">
        <v>1.2293046520035114E-3</v>
      </c>
      <c r="L8" s="37">
        <v>2.3521436273745916E-3</v>
      </c>
      <c r="M8" s="37">
        <v>2.4031466390685499E-3</v>
      </c>
      <c r="N8" s="37">
        <v>1.8411616693936722E-3</v>
      </c>
    </row>
    <row r="9" spans="2:35" x14ac:dyDescent="0.35">
      <c r="D9" s="24" t="s">
        <v>6</v>
      </c>
      <c r="E9" s="37">
        <v>2.0103694652037333E-3</v>
      </c>
      <c r="F9" s="37">
        <v>4.8671486351026952E-3</v>
      </c>
      <c r="G9" s="37">
        <v>4.3341974352372348E-3</v>
      </c>
      <c r="H9" s="37">
        <v>3.2294897832164712E-3</v>
      </c>
      <c r="I9" s="37">
        <v>1.8812430321481141E-3</v>
      </c>
      <c r="J9" s="37">
        <f>VARP('Expected Return'!$G$3:$G$63)</f>
        <v>1.4162000999482383E-2</v>
      </c>
      <c r="K9" s="37">
        <v>3.924308791640848E-3</v>
      </c>
      <c r="L9" s="37">
        <v>8.0628731729048362E-3</v>
      </c>
      <c r="M9" s="37">
        <v>3.3457117809476277E-3</v>
      </c>
      <c r="N9" s="37">
        <v>4.3524845757851793E-3</v>
      </c>
    </row>
    <row r="10" spans="2:35" x14ac:dyDescent="0.35">
      <c r="D10" s="24" t="s">
        <v>7</v>
      </c>
      <c r="E10" s="37">
        <v>2.3098488196704372E-3</v>
      </c>
      <c r="F10" s="37">
        <v>3.5317041344260238E-3</v>
      </c>
      <c r="G10" s="37">
        <v>3.5713869375076789E-3</v>
      </c>
      <c r="H10" s="37">
        <v>2.7771744848461583E-3</v>
      </c>
      <c r="I10" s="37">
        <v>1.2293046520035114E-3</v>
      </c>
      <c r="J10" s="37">
        <v>3.924308791640848E-3</v>
      </c>
      <c r="K10" s="37">
        <f>VARP('Expected Return'!$H$3:$H$63)</f>
        <v>3.8336688639038436E-3</v>
      </c>
      <c r="L10" s="37">
        <v>6.2137430321274395E-3</v>
      </c>
      <c r="M10" s="37">
        <v>3.8736061960381978E-3</v>
      </c>
      <c r="N10" s="37">
        <v>4.4338242151246467E-3</v>
      </c>
    </row>
    <row r="11" spans="2:35" x14ac:dyDescent="0.35">
      <c r="D11" s="24" t="s">
        <v>8</v>
      </c>
      <c r="E11" s="37">
        <v>5.2545309721092979E-3</v>
      </c>
      <c r="F11" s="37">
        <v>8.408139366259124E-3</v>
      </c>
      <c r="G11" s="37">
        <v>7.6542008523920952E-3</v>
      </c>
      <c r="H11" s="37">
        <v>5.8758385532837656E-3</v>
      </c>
      <c r="I11" s="37">
        <v>2.3521436273745916E-3</v>
      </c>
      <c r="J11" s="37">
        <v>8.0628731729048362E-3</v>
      </c>
      <c r="K11" s="37">
        <v>6.2137430321274395E-3</v>
      </c>
      <c r="L11" s="37">
        <f>VARP('Expected Return'!$I$3:$I$63)</f>
        <v>1.9596191569281982E-2</v>
      </c>
      <c r="M11" s="37">
        <v>7.5630918931727971E-3</v>
      </c>
      <c r="N11" s="37">
        <v>9.5879737601338843E-3</v>
      </c>
    </row>
    <row r="12" spans="2:35" x14ac:dyDescent="0.35">
      <c r="D12" s="24" t="s">
        <v>9</v>
      </c>
      <c r="E12" s="37">
        <v>2.9820700984561155E-3</v>
      </c>
      <c r="F12" s="37">
        <v>3.8913777727078362E-3</v>
      </c>
      <c r="G12" s="37">
        <v>4.2759542387746487E-3</v>
      </c>
      <c r="H12" s="37">
        <v>3.1718374849380943E-3</v>
      </c>
      <c r="I12" s="37">
        <v>2.4031466390685451E-3</v>
      </c>
      <c r="J12" s="37">
        <v>3.3457117809476277E-3</v>
      </c>
      <c r="K12" s="37">
        <v>3.8736061960381978E-3</v>
      </c>
      <c r="L12" s="37">
        <v>7.5630918931727971E-3</v>
      </c>
      <c r="M12" s="37">
        <f>VARP('Expected Return'!$J$3:$J$63)</f>
        <v>9.7933269948656029E-3</v>
      </c>
      <c r="N12" s="37">
        <v>5.08155389896467E-3</v>
      </c>
    </row>
    <row r="13" spans="2:35" ht="18.5" x14ac:dyDescent="0.45">
      <c r="D13" s="24" t="s">
        <v>10</v>
      </c>
      <c r="E13" s="37">
        <v>7.104421931280666E-3</v>
      </c>
      <c r="F13" s="37">
        <v>8.8870295594142418E-3</v>
      </c>
      <c r="G13" s="37">
        <v>6.9652438059735686E-3</v>
      </c>
      <c r="H13" s="37">
        <v>6.1772716854453062E-3</v>
      </c>
      <c r="I13" s="37">
        <v>1.8411616693936722E-3</v>
      </c>
      <c r="J13" s="37">
        <v>4.3524845757851793E-3</v>
      </c>
      <c r="K13" s="37">
        <v>4.4338242151246467E-3</v>
      </c>
      <c r="L13" s="37">
        <v>9.5879737601338843E-3</v>
      </c>
      <c r="M13" s="37">
        <v>5.0815538989646717E-3</v>
      </c>
      <c r="N13" s="37">
        <f>VARP('Expected Return'!$K$3:$K$63)</f>
        <v>3.0555443990937309E-2</v>
      </c>
      <c r="T13" s="125" t="s">
        <v>19</v>
      </c>
      <c r="U13" s="125"/>
      <c r="V13" s="125"/>
      <c r="W13" s="125"/>
      <c r="X13" s="125"/>
      <c r="Y13" s="125"/>
      <c r="Z13" s="125"/>
      <c r="AA13" s="125"/>
      <c r="AB13" s="125"/>
      <c r="AC13" s="125"/>
    </row>
    <row r="14" spans="2:35" ht="16" x14ac:dyDescent="0.4">
      <c r="Q14" s="27" t="s">
        <v>13</v>
      </c>
      <c r="T14" s="42" t="s">
        <v>1</v>
      </c>
      <c r="U14" s="43" t="s">
        <v>2</v>
      </c>
      <c r="V14" s="43" t="s">
        <v>3</v>
      </c>
      <c r="W14" s="43" t="s">
        <v>4</v>
      </c>
      <c r="X14" s="43" t="s">
        <v>5</v>
      </c>
      <c r="Y14" s="43" t="s">
        <v>6</v>
      </c>
      <c r="Z14" s="43" t="s">
        <v>7</v>
      </c>
      <c r="AA14" s="43" t="s">
        <v>8</v>
      </c>
      <c r="AB14" s="43" t="s">
        <v>9</v>
      </c>
      <c r="AC14" s="42" t="s">
        <v>10</v>
      </c>
      <c r="AI14" s="40"/>
    </row>
    <row r="15" spans="2:35" ht="18.5" x14ac:dyDescent="0.45">
      <c r="B15" s="26" t="s">
        <v>20</v>
      </c>
      <c r="E15" s="116" t="s">
        <v>1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1" t="s">
        <v>10</v>
      </c>
      <c r="T15" s="46" t="s">
        <v>21</v>
      </c>
      <c r="U15" s="46" t="s">
        <v>22</v>
      </c>
      <c r="V15" s="46" t="s">
        <v>23</v>
      </c>
      <c r="W15" s="46" t="s">
        <v>24</v>
      </c>
      <c r="X15" s="46" t="s">
        <v>25</v>
      </c>
      <c r="Y15" s="46" t="s">
        <v>26</v>
      </c>
      <c r="Z15" s="46" t="s">
        <v>27</v>
      </c>
      <c r="AA15" s="46" t="s">
        <v>28</v>
      </c>
      <c r="AB15" s="46" t="s">
        <v>29</v>
      </c>
      <c r="AC15" s="46" t="s">
        <v>30</v>
      </c>
      <c r="AD15" s="44" t="s">
        <v>31</v>
      </c>
      <c r="AE15" s="44" t="s">
        <v>32</v>
      </c>
      <c r="AF15" s="44" t="s">
        <v>33</v>
      </c>
      <c r="AG15" s="41" t="s">
        <v>34</v>
      </c>
      <c r="AH15" s="39" t="s">
        <v>35</v>
      </c>
      <c r="AI15" s="40" t="s">
        <v>36</v>
      </c>
    </row>
    <row r="16" spans="2:35" ht="18.5" x14ac:dyDescent="0.45">
      <c r="D16" s="24" t="s">
        <v>1</v>
      </c>
      <c r="E16" s="25" cm="1">
        <f t="array" ref="E16:N25">E4:N13*12</f>
        <v>6.0152431950640753E-2</v>
      </c>
      <c r="F16" s="25">
        <v>4.0999214350854837E-2</v>
      </c>
      <c r="G16" s="25">
        <v>3.4631019030363835E-2</v>
      </c>
      <c r="H16" s="25">
        <v>2.8561694983010585E-2</v>
      </c>
      <c r="I16" s="25">
        <v>2.3307133963383783E-2</v>
      </c>
      <c r="J16" s="25">
        <v>2.4124433582444801E-2</v>
      </c>
      <c r="K16" s="25">
        <v>2.7718185836045246E-2</v>
      </c>
      <c r="L16" s="25">
        <v>6.3054371665311582E-2</v>
      </c>
      <c r="M16" s="25">
        <v>3.578484118147339E-2</v>
      </c>
      <c r="N16" s="25">
        <v>8.5253063175367988E-2</v>
      </c>
      <c r="Q16" s="38">
        <v>0.15480380138455399</v>
      </c>
      <c r="R16" s="38"/>
      <c r="T16" s="47">
        <v>4.3668874344882029E-2</v>
      </c>
      <c r="U16" s="47">
        <v>0</v>
      </c>
      <c r="V16" s="47">
        <v>0.44525003115762285</v>
      </c>
      <c r="W16" s="47">
        <v>0.15763666357415096</v>
      </c>
      <c r="X16" s="47">
        <v>0.13973265692397763</v>
      </c>
      <c r="Y16" s="47">
        <v>0</v>
      </c>
      <c r="Z16" s="47">
        <v>0</v>
      </c>
      <c r="AA16" s="47">
        <v>2.5123424047885024E-2</v>
      </c>
      <c r="AB16" s="47">
        <v>0.18858834995148191</v>
      </c>
      <c r="AC16" s="47">
        <v>0</v>
      </c>
      <c r="AD16" s="21">
        <f>MMULT(Weights,Means)</f>
        <v>0.34628278441832894</v>
      </c>
      <c r="AE16" s="21">
        <f t="array" ref="AE16">MMULT(Weights,MMULT(varcov,TRANSPOSE(Weights)))</f>
        <v>5.9669621438027051E-2</v>
      </c>
      <c r="AF16" s="21">
        <f>SQRT(AE16)</f>
        <v>0.24427366095841577</v>
      </c>
      <c r="AG16">
        <f>SUM(Weights)</f>
        <v>1.0000000000000004</v>
      </c>
      <c r="AH16">
        <v>750</v>
      </c>
      <c r="AI16" s="21">
        <f>AD16-0.005*AH16*AE16</f>
        <v>0.12252170402572748</v>
      </c>
    </row>
    <row r="17" spans="4:35" ht="18.5" x14ac:dyDescent="0.45">
      <c r="D17" s="24" t="s">
        <v>2</v>
      </c>
      <c r="E17" s="25">
        <v>4.0999214350854872E-2</v>
      </c>
      <c r="F17" s="25">
        <v>8.9689313467562301E-2</v>
      </c>
      <c r="G17" s="25">
        <v>5.3136015931393762E-2</v>
      </c>
      <c r="H17" s="25">
        <v>5.101048043892345E-2</v>
      </c>
      <c r="I17" s="25">
        <v>1.9187208322833181E-2</v>
      </c>
      <c r="J17" s="25">
        <v>5.8405783621232346E-2</v>
      </c>
      <c r="K17" s="25">
        <v>4.2380449613112284E-2</v>
      </c>
      <c r="L17" s="25">
        <v>0.10089767239510949</v>
      </c>
      <c r="M17" s="25">
        <v>4.6696533272494033E-2</v>
      </c>
      <c r="N17" s="25">
        <v>0.1066443547129709</v>
      </c>
      <c r="Q17" s="38">
        <v>6.0815934311034082E-2</v>
      </c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4:35" ht="18.5" x14ac:dyDescent="0.45">
      <c r="D18" s="24" t="s">
        <v>3</v>
      </c>
      <c r="E18" s="25">
        <v>3.4631019030363822E-2</v>
      </c>
      <c r="F18" s="25">
        <v>5.3136015931393762E-2</v>
      </c>
      <c r="G18" s="25">
        <v>0.11546553953890407</v>
      </c>
      <c r="H18" s="25">
        <v>5.1723529958266734E-2</v>
      </c>
      <c r="I18" s="25">
        <v>2.3468252492025818E-2</v>
      </c>
      <c r="J18" s="25">
        <v>5.2010369222846818E-2</v>
      </c>
      <c r="K18" s="25">
        <v>4.2856643250092148E-2</v>
      </c>
      <c r="L18" s="25">
        <v>9.1850410228705145E-2</v>
      </c>
      <c r="M18" s="25">
        <v>5.1311450865295788E-2</v>
      </c>
      <c r="N18" s="25">
        <v>8.3582925671682823E-2</v>
      </c>
      <c r="Q18" s="38">
        <v>0.47128890394530876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4:35" ht="18.5" x14ac:dyDescent="0.45">
      <c r="D19" s="24" t="s">
        <v>4</v>
      </c>
      <c r="E19" s="25">
        <v>2.8561694983010585E-2</v>
      </c>
      <c r="F19" s="25">
        <v>5.101048043892345E-2</v>
      </c>
      <c r="G19" s="25">
        <v>5.1723529958266734E-2</v>
      </c>
      <c r="H19" s="25">
        <v>7.2109301119740774E-2</v>
      </c>
      <c r="I19" s="25">
        <v>1.0158315924990575E-2</v>
      </c>
      <c r="J19" s="25">
        <v>3.8753877398597654E-2</v>
      </c>
      <c r="K19" s="25">
        <v>3.33260938181539E-2</v>
      </c>
      <c r="L19" s="25">
        <v>7.051006263940518E-2</v>
      </c>
      <c r="M19" s="25">
        <v>3.8062049819257135E-2</v>
      </c>
      <c r="N19" s="25">
        <v>7.4127260225343675E-2</v>
      </c>
      <c r="Q19" s="38">
        <v>0.24390878750538858</v>
      </c>
      <c r="S19" t="s">
        <v>37</v>
      </c>
      <c r="T19" s="47">
        <v>0.1</v>
      </c>
      <c r="U19" s="47">
        <v>0.1</v>
      </c>
      <c r="V19" s="47">
        <v>0.1</v>
      </c>
      <c r="W19" s="47">
        <v>0.1</v>
      </c>
      <c r="X19" s="47">
        <v>0.1</v>
      </c>
      <c r="Y19" s="47">
        <v>0.1</v>
      </c>
      <c r="Z19" s="47">
        <v>0.1</v>
      </c>
      <c r="AA19" s="47">
        <v>0.1</v>
      </c>
      <c r="AB19" s="47">
        <v>0.1</v>
      </c>
      <c r="AC19" s="47">
        <v>0.1</v>
      </c>
      <c r="AD19" s="21">
        <v>0.2481536934181201</v>
      </c>
      <c r="AE19" s="21">
        <v>5.9232066116529973E-2</v>
      </c>
      <c r="AF19" s="21">
        <v>0.24337638775470799</v>
      </c>
      <c r="AG19">
        <v>0.99999999999999989</v>
      </c>
    </row>
    <row r="20" spans="4:35" ht="18.5" x14ac:dyDescent="0.45">
      <c r="D20" s="24" t="s">
        <v>5</v>
      </c>
      <c r="E20" s="25">
        <v>2.3307133963383783E-2</v>
      </c>
      <c r="F20" s="25">
        <v>1.9187208322833181E-2</v>
      </c>
      <c r="G20" s="25">
        <v>2.3468252492025818E-2</v>
      </c>
      <c r="H20" s="25">
        <v>1.0158315924990575E-2</v>
      </c>
      <c r="I20" s="25">
        <v>5.5926938888631761E-2</v>
      </c>
      <c r="J20" s="25">
        <v>2.2574916385777369E-2</v>
      </c>
      <c r="K20" s="25">
        <v>1.4751655824042136E-2</v>
      </c>
      <c r="L20" s="25">
        <v>2.82257235284951E-2</v>
      </c>
      <c r="M20" s="25">
        <v>2.8837759668822599E-2</v>
      </c>
      <c r="N20" s="25">
        <v>2.2093940032724066E-2</v>
      </c>
      <c r="Q20" s="38">
        <v>0.10143547176869</v>
      </c>
      <c r="S20" s="24" t="s">
        <v>38</v>
      </c>
      <c r="T20" s="49">
        <v>0.12417320412690995</v>
      </c>
      <c r="U20" s="49">
        <v>0</v>
      </c>
      <c r="V20" s="49">
        <v>0</v>
      </c>
      <c r="W20" s="49">
        <v>0.15590753908669405</v>
      </c>
      <c r="X20" s="49">
        <v>0.36807695781597327</v>
      </c>
      <c r="Y20" s="49">
        <v>0</v>
      </c>
      <c r="Z20" s="49">
        <v>0.35184229897042296</v>
      </c>
      <c r="AA20" s="49">
        <v>0</v>
      </c>
      <c r="AB20" s="49">
        <v>0</v>
      </c>
      <c r="AC20" s="49">
        <v>0</v>
      </c>
      <c r="AD20" s="50">
        <v>0.1590200325007457</v>
      </c>
      <c r="AE20" s="50">
        <v>3.0253552829931842E-2</v>
      </c>
      <c r="AF20" s="50">
        <v>0.17393548467731315</v>
      </c>
      <c r="AG20" s="24">
        <v>1.0000000000000002</v>
      </c>
    </row>
    <row r="21" spans="4:35" ht="18.5" x14ac:dyDescent="0.45">
      <c r="D21" s="24" t="s">
        <v>6</v>
      </c>
      <c r="E21" s="25">
        <v>2.4124433582444801E-2</v>
      </c>
      <c r="F21" s="25">
        <v>5.8405783621232346E-2</v>
      </c>
      <c r="G21" s="25">
        <v>5.2010369222846818E-2</v>
      </c>
      <c r="H21" s="25">
        <v>3.8753877398597654E-2</v>
      </c>
      <c r="I21" s="25">
        <v>2.2574916385777369E-2</v>
      </c>
      <c r="J21" s="25">
        <v>0.16994401199378861</v>
      </c>
      <c r="K21" s="25">
        <v>4.7091705499690176E-2</v>
      </c>
      <c r="L21" s="25">
        <v>9.6754478074858041E-2</v>
      </c>
      <c r="M21" s="25">
        <v>4.0148541371371534E-2</v>
      </c>
      <c r="N21" s="25">
        <v>5.2229814909422148E-2</v>
      </c>
      <c r="Q21" s="38">
        <v>0.19797227828042013</v>
      </c>
      <c r="S21" t="s">
        <v>39</v>
      </c>
      <c r="T21" s="47">
        <v>0.103920317243648</v>
      </c>
      <c r="U21" s="47">
        <v>0</v>
      </c>
      <c r="V21" s="47">
        <v>0.1109175717049682</v>
      </c>
      <c r="W21" s="47">
        <v>0.18165968911737013</v>
      </c>
      <c r="X21" s="47">
        <v>0.29895298373761248</v>
      </c>
      <c r="Y21" s="47">
        <v>0</v>
      </c>
      <c r="Z21" s="47">
        <v>0.29671502011310447</v>
      </c>
      <c r="AA21" s="47">
        <v>0</v>
      </c>
      <c r="AB21" s="47">
        <v>7.8344180832960169E-3</v>
      </c>
      <c r="AC21" s="47">
        <v>0</v>
      </c>
      <c r="AD21" s="21">
        <v>0.20000000099236942</v>
      </c>
      <c r="AE21" s="21">
        <v>3.2921479120782346E-2</v>
      </c>
      <c r="AF21" s="21">
        <v>0.18144277092455996</v>
      </c>
      <c r="AG21">
        <v>0.99999999999999967</v>
      </c>
    </row>
    <row r="22" spans="4:35" ht="18.5" x14ac:dyDescent="0.45">
      <c r="D22" s="24" t="s">
        <v>7</v>
      </c>
      <c r="E22" s="25">
        <v>2.7718185836045246E-2</v>
      </c>
      <c r="F22" s="25">
        <v>4.2380449613112284E-2</v>
      </c>
      <c r="G22" s="25">
        <v>4.2856643250092148E-2</v>
      </c>
      <c r="H22" s="25">
        <v>3.33260938181539E-2</v>
      </c>
      <c r="I22" s="25">
        <v>1.4751655824042136E-2</v>
      </c>
      <c r="J22" s="25">
        <v>4.7091705499690176E-2</v>
      </c>
      <c r="K22" s="25">
        <v>4.6004026366846126E-2</v>
      </c>
      <c r="L22" s="25">
        <v>7.456491638552927E-2</v>
      </c>
      <c r="M22" s="25">
        <v>4.6483274352458373E-2</v>
      </c>
      <c r="N22" s="25">
        <v>5.320589058149576E-2</v>
      </c>
      <c r="Q22" s="38">
        <v>0.18313394942995301</v>
      </c>
      <c r="S22" t="s">
        <v>40</v>
      </c>
      <c r="T22" s="47">
        <v>8.6210169990138336E-2</v>
      </c>
      <c r="U22" s="47">
        <v>0</v>
      </c>
      <c r="V22" s="47">
        <v>0.2310598705548744</v>
      </c>
      <c r="W22" s="47">
        <v>0.17502388113565456</v>
      </c>
      <c r="X22" s="47">
        <v>0.24031627493737792</v>
      </c>
      <c r="Y22" s="47">
        <v>0</v>
      </c>
      <c r="Z22" s="47">
        <v>0.19285805297697997</v>
      </c>
      <c r="AA22" s="47">
        <v>0</v>
      </c>
      <c r="AB22" s="47">
        <v>7.4531750404974645E-2</v>
      </c>
      <c r="AC22" s="47">
        <v>0</v>
      </c>
      <c r="AD22" s="21">
        <v>0.25000000303278369</v>
      </c>
      <c r="AE22" s="21">
        <v>3.921399746527654E-2</v>
      </c>
      <c r="AF22" s="21">
        <v>0.19802524451512879</v>
      </c>
      <c r="AG22">
        <v>0.99999999999999989</v>
      </c>
    </row>
    <row r="23" spans="4:35" ht="18.5" x14ac:dyDescent="0.45">
      <c r="D23" s="24" t="s">
        <v>8</v>
      </c>
      <c r="E23" s="25">
        <v>6.3054371665311582E-2</v>
      </c>
      <c r="F23" s="25">
        <v>0.10089767239510949</v>
      </c>
      <c r="G23" s="25">
        <v>9.1850410228705145E-2</v>
      </c>
      <c r="H23" s="25">
        <v>7.051006263940518E-2</v>
      </c>
      <c r="I23" s="25">
        <v>2.82257235284951E-2</v>
      </c>
      <c r="J23" s="25">
        <v>9.6754478074858041E-2</v>
      </c>
      <c r="K23" s="25">
        <v>7.456491638552927E-2</v>
      </c>
      <c r="L23" s="25">
        <v>0.23515429883138378</v>
      </c>
      <c r="M23" s="25">
        <v>9.0757102718073565E-2</v>
      </c>
      <c r="N23" s="25">
        <v>0.1150556851216066</v>
      </c>
      <c r="Q23" s="38">
        <v>0.5117434866874192</v>
      </c>
      <c r="S23" t="s">
        <v>41</v>
      </c>
      <c r="T23" s="47">
        <v>6.8500034015776215E-2</v>
      </c>
      <c r="U23" s="47">
        <v>0</v>
      </c>
      <c r="V23" s="47">
        <v>0.3512021728209902</v>
      </c>
      <c r="W23" s="47">
        <v>0.16838798225661863</v>
      </c>
      <c r="X23" s="47">
        <v>0.1816795242061639</v>
      </c>
      <c r="Y23" s="47">
        <v>0</v>
      </c>
      <c r="Z23" s="47">
        <v>8.9001231767157574E-2</v>
      </c>
      <c r="AA23" s="47">
        <v>0</v>
      </c>
      <c r="AB23" s="47">
        <v>0.14122905493329357</v>
      </c>
      <c r="AC23" s="47">
        <v>0</v>
      </c>
      <c r="AD23" s="21">
        <v>0.29999999926761167</v>
      </c>
      <c r="AE23" s="21">
        <v>4.8496809558001702E-2</v>
      </c>
      <c r="AF23" s="21">
        <v>0.22021991181090256</v>
      </c>
      <c r="AG23">
        <v>1</v>
      </c>
    </row>
    <row r="24" spans="4:35" ht="18.5" x14ac:dyDescent="0.45">
      <c r="D24" s="24" t="s">
        <v>9</v>
      </c>
      <c r="E24" s="25">
        <v>3.578484118147339E-2</v>
      </c>
      <c r="F24" s="25">
        <v>4.6696533272494033E-2</v>
      </c>
      <c r="G24" s="25">
        <v>5.1311450865295788E-2</v>
      </c>
      <c r="H24" s="25">
        <v>3.8062049819257135E-2</v>
      </c>
      <c r="I24" s="25">
        <v>2.8837759668822543E-2</v>
      </c>
      <c r="J24" s="25">
        <v>4.0148541371371534E-2</v>
      </c>
      <c r="K24" s="25">
        <v>4.6483274352458373E-2</v>
      </c>
      <c r="L24" s="25">
        <v>9.0757102718073565E-2</v>
      </c>
      <c r="M24" s="25">
        <v>0.11751992393838723</v>
      </c>
      <c r="N24" s="25">
        <v>6.0978646787576044E-2</v>
      </c>
      <c r="Q24" s="38">
        <v>0.3404330831838227</v>
      </c>
      <c r="S24" t="s">
        <v>42</v>
      </c>
      <c r="T24" s="47">
        <v>3.9304134636204358E-2</v>
      </c>
      <c r="U24" s="47">
        <v>0</v>
      </c>
      <c r="V24" s="47">
        <v>0.452598964935707</v>
      </c>
      <c r="W24" s="47">
        <v>0.15448694384735456</v>
      </c>
      <c r="X24" s="47">
        <v>0.13476724378995228</v>
      </c>
      <c r="Y24" s="47">
        <v>0</v>
      </c>
      <c r="Z24" s="47">
        <v>0</v>
      </c>
      <c r="AA24" s="47">
        <v>2.7777052365283463E-2</v>
      </c>
      <c r="AB24" s="47">
        <v>0.19106566042549841</v>
      </c>
      <c r="AC24" s="47">
        <v>0</v>
      </c>
      <c r="AD24" s="21">
        <v>0.34999999917168145</v>
      </c>
      <c r="AE24" s="21">
        <v>6.0669693551988063E-2</v>
      </c>
      <c r="AF24" s="21">
        <v>0.24631218717714326</v>
      </c>
      <c r="AG24">
        <v>1.0000000000000002</v>
      </c>
    </row>
    <row r="25" spans="4:35" ht="18.5" x14ac:dyDescent="0.45">
      <c r="D25" s="24" t="s">
        <v>10</v>
      </c>
      <c r="E25" s="25">
        <v>8.5253063175367988E-2</v>
      </c>
      <c r="F25" s="25">
        <v>0.1066443547129709</v>
      </c>
      <c r="G25" s="25">
        <v>8.3582925671682823E-2</v>
      </c>
      <c r="H25" s="25">
        <v>7.4127260225343675E-2</v>
      </c>
      <c r="I25" s="25">
        <v>2.2093940032724066E-2</v>
      </c>
      <c r="J25" s="25">
        <v>5.2229814909422148E-2</v>
      </c>
      <c r="K25" s="25">
        <v>5.320589058149576E-2</v>
      </c>
      <c r="L25" s="25">
        <v>0.1150556851216066</v>
      </c>
      <c r="M25" s="25">
        <v>6.0978646787576057E-2</v>
      </c>
      <c r="N25" s="25">
        <v>0.36666532789124773</v>
      </c>
      <c r="Q25" s="38">
        <v>0.21600123768460991</v>
      </c>
      <c r="S25" t="s">
        <v>43</v>
      </c>
      <c r="T25" s="47">
        <v>0</v>
      </c>
      <c r="U25" s="47">
        <v>0</v>
      </c>
      <c r="V25" s="47">
        <v>0.55503809188807596</v>
      </c>
      <c r="W25" s="47">
        <v>0.102063721130425</v>
      </c>
      <c r="X25" s="47">
        <v>5.8381001334850961E-2</v>
      </c>
      <c r="Y25" s="47">
        <v>0</v>
      </c>
      <c r="Z25" s="47">
        <v>0</v>
      </c>
      <c r="AA25" s="47">
        <v>6.2707806435353161E-2</v>
      </c>
      <c r="AB25" s="47">
        <v>0.22180937921129493</v>
      </c>
      <c r="AC25" s="47">
        <v>0</v>
      </c>
      <c r="AD25" s="21">
        <v>0.40000099920750437</v>
      </c>
      <c r="AE25" s="21">
        <v>7.5853785407201113E-2</v>
      </c>
      <c r="AF25" s="21">
        <v>0.27541565933548717</v>
      </c>
      <c r="AG25">
        <v>0.99999999999999989</v>
      </c>
    </row>
    <row r="26" spans="4:35" x14ac:dyDescent="0.35">
      <c r="S26" t="s">
        <v>44</v>
      </c>
      <c r="T26" s="47">
        <v>0</v>
      </c>
      <c r="U26" s="47">
        <v>0</v>
      </c>
      <c r="V26" s="47">
        <v>0.67764469212206468</v>
      </c>
      <c r="W26" s="47">
        <v>0</v>
      </c>
      <c r="X26" s="47">
        <v>0</v>
      </c>
      <c r="Y26" s="47">
        <v>0</v>
      </c>
      <c r="Z26" s="47">
        <v>0</v>
      </c>
      <c r="AA26" s="47">
        <v>0.1219608555425363</v>
      </c>
      <c r="AB26" s="47">
        <v>0.20039445233539907</v>
      </c>
      <c r="AC26" s="47">
        <v>0</v>
      </c>
      <c r="AD26" s="21">
        <v>0.44999999893075576</v>
      </c>
      <c r="AE26" s="21">
        <v>9.4793416126620109E-2</v>
      </c>
      <c r="AF26" s="21">
        <v>0.30788539446784435</v>
      </c>
      <c r="AG26">
        <v>1</v>
      </c>
    </row>
    <row r="27" spans="4:35" x14ac:dyDescent="0.35">
      <c r="S27" t="s">
        <v>45</v>
      </c>
      <c r="T27" s="47">
        <v>0</v>
      </c>
      <c r="U27" s="47">
        <v>0</v>
      </c>
      <c r="V27" s="47">
        <v>0.29028816739865643</v>
      </c>
      <c r="W27" s="47">
        <v>0</v>
      </c>
      <c r="X27" s="47">
        <v>0</v>
      </c>
      <c r="Y27" s="47">
        <v>0</v>
      </c>
      <c r="Z27" s="47">
        <v>0</v>
      </c>
      <c r="AA27" s="47">
        <v>0.70971183260134363</v>
      </c>
      <c r="AB27" s="47">
        <v>0</v>
      </c>
      <c r="AC27" s="47">
        <v>0</v>
      </c>
      <c r="AD27" s="21">
        <v>0.50000000000033462</v>
      </c>
      <c r="AE27" s="21">
        <v>0.16602125405086493</v>
      </c>
      <c r="AF27" s="21">
        <v>0.40745705792250664</v>
      </c>
      <c r="AG27">
        <v>1</v>
      </c>
    </row>
    <row r="28" spans="4:35" x14ac:dyDescent="0.35">
      <c r="S28" t="s">
        <v>46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0.99999999999999989</v>
      </c>
      <c r="AB28" s="47">
        <v>0</v>
      </c>
      <c r="AC28" s="47">
        <v>0</v>
      </c>
      <c r="AD28" s="21">
        <v>0.51174348668741909</v>
      </c>
      <c r="AE28" s="21">
        <v>0.23515429883138372</v>
      </c>
      <c r="AF28" s="21">
        <v>0.48492710671953959</v>
      </c>
      <c r="AG28">
        <v>0.99999999999999989</v>
      </c>
    </row>
    <row r="29" spans="4:35" x14ac:dyDescent="0.35">
      <c r="S29" s="24" t="s">
        <v>47</v>
      </c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50">
        <v>0.04</v>
      </c>
      <c r="AE29" s="50"/>
      <c r="AF29" s="50">
        <v>0</v>
      </c>
    </row>
    <row r="30" spans="4:35" x14ac:dyDescent="0.35"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4:35" x14ac:dyDescent="0.35">
      <c r="T31" s="47">
        <v>0</v>
      </c>
      <c r="U31" s="47">
        <v>0</v>
      </c>
      <c r="V31" s="47">
        <v>0.737343166587903</v>
      </c>
      <c r="W31" s="47">
        <v>0</v>
      </c>
      <c r="X31" s="47">
        <v>0</v>
      </c>
      <c r="Y31" s="47">
        <v>0</v>
      </c>
      <c r="Z31" s="47">
        <v>0</v>
      </c>
      <c r="AA31" s="47">
        <v>0.26265683341209722</v>
      </c>
      <c r="AB31" s="47">
        <v>0</v>
      </c>
      <c r="AC31" s="47">
        <v>0</v>
      </c>
      <c r="AD31" s="21">
        <v>0.4819145765453593</v>
      </c>
      <c r="AE31" s="21">
        <v>0.11457570075369511</v>
      </c>
      <c r="AF31" s="21">
        <v>0.33849032593812056</v>
      </c>
      <c r="AG31">
        <v>1.0000000000000002</v>
      </c>
      <c r="AH31">
        <v>200</v>
      </c>
      <c r="AI31" s="21">
        <v>0.36733887579166419</v>
      </c>
    </row>
    <row r="32" spans="4:35" x14ac:dyDescent="0.35">
      <c r="T32" s="48">
        <v>0</v>
      </c>
      <c r="U32" s="47">
        <v>0</v>
      </c>
      <c r="V32" s="47">
        <v>0.68873524457694124</v>
      </c>
      <c r="W32" s="47">
        <v>0</v>
      </c>
      <c r="X32" s="47">
        <v>0</v>
      </c>
      <c r="Y32" s="47">
        <v>0</v>
      </c>
      <c r="Z32" s="47">
        <v>0</v>
      </c>
      <c r="AA32" s="47">
        <v>0.13576368418911922</v>
      </c>
      <c r="AB32" s="47">
        <v>0.17550107123393974</v>
      </c>
      <c r="AC32" s="47">
        <v>0</v>
      </c>
      <c r="AD32" s="21">
        <v>0.45381583041987406</v>
      </c>
      <c r="AE32" s="21">
        <v>9.66320829320131E-2</v>
      </c>
      <c r="AF32" s="21">
        <v>0.31085701364455831</v>
      </c>
      <c r="AG32" s="45">
        <v>1</v>
      </c>
      <c r="AH32">
        <v>400</v>
      </c>
      <c r="AI32" s="21">
        <v>0.26055166455584788</v>
      </c>
    </row>
    <row r="33" spans="19:35" x14ac:dyDescent="0.35">
      <c r="T33" s="47">
        <v>0</v>
      </c>
      <c r="U33" s="47">
        <v>0</v>
      </c>
      <c r="V33" s="47">
        <v>0.54889667706202883</v>
      </c>
      <c r="W33" s="47">
        <v>0.10597422510809958</v>
      </c>
      <c r="X33" s="47">
        <v>6.4106624284116398E-2</v>
      </c>
      <c r="Y33" s="47">
        <v>0</v>
      </c>
      <c r="Z33" s="47">
        <v>0</v>
      </c>
      <c r="AA33" s="47">
        <v>6.0887879978783532E-2</v>
      </c>
      <c r="AB33" s="47">
        <v>0.2201345935669721</v>
      </c>
      <c r="AC33" s="47">
        <v>0</v>
      </c>
      <c r="AD33" s="21">
        <v>0.39713971814325266</v>
      </c>
      <c r="AE33" s="21">
        <v>7.4894286827991194E-2</v>
      </c>
      <c r="AF33" s="21">
        <v>0.27366820573093836</v>
      </c>
      <c r="AG33">
        <v>1.0000000000000004</v>
      </c>
      <c r="AH33">
        <v>600</v>
      </c>
      <c r="AI33" s="21">
        <v>0.17245685765927909</v>
      </c>
    </row>
    <row r="34" spans="19:35" x14ac:dyDescent="0.35">
      <c r="S34" s="24" t="s">
        <v>127</v>
      </c>
      <c r="T34" s="49">
        <v>2.5989442050399002E-2</v>
      </c>
      <c r="U34" s="49">
        <v>0</v>
      </c>
      <c r="V34" s="49">
        <v>0.47501974157141491</v>
      </c>
      <c r="W34" s="49">
        <v>0.14450369445422295</v>
      </c>
      <c r="X34" s="49">
        <v>0.12041573537610309</v>
      </c>
      <c r="Y34" s="49">
        <v>0</v>
      </c>
      <c r="Z34" s="49">
        <v>0</v>
      </c>
      <c r="AA34" s="49">
        <v>3.5991036632313865E-2</v>
      </c>
      <c r="AB34" s="49">
        <v>0.1980803499155466</v>
      </c>
      <c r="AC34" s="49">
        <v>0</v>
      </c>
      <c r="AD34" s="50">
        <v>0.36120622842906364</v>
      </c>
      <c r="AE34" s="50">
        <v>6.3791324539763605E-2</v>
      </c>
      <c r="AF34" s="50">
        <v>0.25256944498447076</v>
      </c>
      <c r="AG34" s="24">
        <v>1.0000000000000004</v>
      </c>
      <c r="AH34" s="24">
        <v>700</v>
      </c>
      <c r="AI34" s="50">
        <v>0.13793659253989102</v>
      </c>
    </row>
    <row r="35" spans="19:35" x14ac:dyDescent="0.35">
      <c r="T35" s="47">
        <v>4.3668874344882029E-2</v>
      </c>
      <c r="U35" s="47">
        <v>0</v>
      </c>
      <c r="V35" s="47">
        <v>0.44525003115762285</v>
      </c>
      <c r="W35" s="47">
        <v>0.15763666357415096</v>
      </c>
      <c r="X35" s="47">
        <v>0.13973265692397763</v>
      </c>
      <c r="Y35" s="47">
        <v>0</v>
      </c>
      <c r="Z35" s="47">
        <v>0</v>
      </c>
      <c r="AA35" s="47">
        <v>2.5123424047885024E-2</v>
      </c>
      <c r="AB35" s="47">
        <v>0.18858834995148191</v>
      </c>
      <c r="AC35" s="47">
        <v>0</v>
      </c>
      <c r="AD35" s="21">
        <v>0.34628278441832894</v>
      </c>
      <c r="AE35" s="21">
        <v>5.9669621438027051E-2</v>
      </c>
      <c r="AF35" s="21">
        <v>0.24427366095841577</v>
      </c>
      <c r="AG35">
        <v>1.0000000000000004</v>
      </c>
      <c r="AH35">
        <v>750</v>
      </c>
      <c r="AI35" s="21">
        <v>0.12252170402572748</v>
      </c>
    </row>
    <row r="36" spans="19:35" x14ac:dyDescent="0.35">
      <c r="T36" s="47">
        <v>5.5005803323981917E-2</v>
      </c>
      <c r="U36" s="47">
        <v>0</v>
      </c>
      <c r="V36" s="47">
        <v>0.41696040741907453</v>
      </c>
      <c r="W36" s="47">
        <v>0.16419159589558305</v>
      </c>
      <c r="X36" s="47">
        <v>0.15303655330243648</v>
      </c>
      <c r="Y36" s="47">
        <v>0</v>
      </c>
      <c r="Z36" s="47">
        <v>2.0721313152679392E-2</v>
      </c>
      <c r="AA36" s="47">
        <v>1.3447150744022E-2</v>
      </c>
      <c r="AB36" s="47">
        <v>0.17663717616222302</v>
      </c>
      <c r="AC36" s="47">
        <v>0</v>
      </c>
      <c r="AD36" s="21">
        <v>0.33140443511801371</v>
      </c>
      <c r="AE36" s="21">
        <v>5.5831997187387752E-2</v>
      </c>
      <c r="AF36" s="21">
        <v>0.23628795396166041</v>
      </c>
      <c r="AG36">
        <v>1.0000000000000004</v>
      </c>
      <c r="AH36">
        <v>800</v>
      </c>
      <c r="AI36" s="21">
        <v>0.1080764463684627</v>
      </c>
    </row>
    <row r="37" spans="19:35" x14ac:dyDescent="0.35">
      <c r="T37" s="47">
        <v>7.3107571525569126E-2</v>
      </c>
      <c r="U37" s="47">
        <v>0</v>
      </c>
      <c r="V37" s="47">
        <v>0.3199457868305231</v>
      </c>
      <c r="W37" s="47">
        <v>0.17011435361520519</v>
      </c>
      <c r="X37" s="47">
        <v>0.19693454869984092</v>
      </c>
      <c r="Y37" s="47">
        <v>0</v>
      </c>
      <c r="Z37" s="47">
        <v>0.11602082186574984</v>
      </c>
      <c r="AA37" s="47">
        <v>0</v>
      </c>
      <c r="AB37" s="47">
        <v>0.12387691746311232</v>
      </c>
      <c r="AC37" s="47">
        <v>0</v>
      </c>
      <c r="AD37" s="21">
        <v>0.28699191603355706</v>
      </c>
      <c r="AE37" s="21">
        <v>4.5793995220041725E-2</v>
      </c>
      <c r="AF37" s="21">
        <v>0.21399531588341303</v>
      </c>
      <c r="AG37">
        <v>1.0000000000000004</v>
      </c>
      <c r="AH37">
        <v>1000</v>
      </c>
      <c r="AI37" s="21">
        <v>5.8021939933348421E-2</v>
      </c>
    </row>
    <row r="38" spans="19:35" x14ac:dyDescent="0.35">
      <c r="T38" s="47">
        <v>8.2978459602870674E-2</v>
      </c>
      <c r="U38" s="47">
        <v>0</v>
      </c>
      <c r="V38" s="47">
        <v>0.25298341744687558</v>
      </c>
      <c r="W38" s="47">
        <v>0.17381289789840912</v>
      </c>
      <c r="X38" s="47">
        <v>0.22961624830094735</v>
      </c>
      <c r="Y38" s="47">
        <v>0</v>
      </c>
      <c r="Z38" s="47">
        <v>0.17390636353349165</v>
      </c>
      <c r="AA38" s="47">
        <v>0</v>
      </c>
      <c r="AB38" s="47">
        <v>8.6702613217406049E-2</v>
      </c>
      <c r="AC38" s="47">
        <v>0</v>
      </c>
      <c r="AD38" s="21">
        <v>0.25912398127838315</v>
      </c>
      <c r="AE38" s="21">
        <v>4.0684873883198601E-2</v>
      </c>
      <c r="AF38" s="21">
        <v>0.20170491784584382</v>
      </c>
      <c r="AG38">
        <v>1.0000000000000004</v>
      </c>
      <c r="AH38">
        <v>1200</v>
      </c>
      <c r="AI38" s="21">
        <v>1.5014737979191561E-2</v>
      </c>
    </row>
    <row r="43" spans="19:35" x14ac:dyDescent="0.35">
      <c r="T43"/>
    </row>
  </sheetData>
  <mergeCells count="1">
    <mergeCell ref="T13:AC13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1E7D-0B98-40D0-8C69-12898478C920}">
  <dimension ref="A1:J9"/>
  <sheetViews>
    <sheetView workbookViewId="0">
      <selection activeCell="D5" sqref="D5:F5"/>
    </sheetView>
  </sheetViews>
  <sheetFormatPr baseColWidth="10" defaultColWidth="8.6328125" defaultRowHeight="14.5" x14ac:dyDescent="0.35"/>
  <cols>
    <col min="1" max="1" width="16.81640625" bestFit="1" customWidth="1"/>
    <col min="2" max="3" width="13.453125" bestFit="1" customWidth="1"/>
    <col min="4" max="4" width="17.36328125" bestFit="1" customWidth="1"/>
    <col min="5" max="5" width="17.36328125" customWidth="1"/>
    <col min="6" max="6" width="15.81640625" bestFit="1" customWidth="1"/>
    <col min="9" max="9" width="15.81640625" bestFit="1" customWidth="1"/>
  </cols>
  <sheetData>
    <row r="1" spans="1:10" x14ac:dyDescent="0.35">
      <c r="A1" s="69"/>
      <c r="B1" s="69" t="s">
        <v>38</v>
      </c>
      <c r="C1" s="69" t="s">
        <v>48</v>
      </c>
      <c r="D1" s="69" t="s">
        <v>49</v>
      </c>
      <c r="E1" s="69" t="s">
        <v>50</v>
      </c>
      <c r="F1" s="69" t="s">
        <v>51</v>
      </c>
      <c r="G1" s="53"/>
      <c r="H1" s="53"/>
      <c r="I1" s="53"/>
      <c r="J1" s="53"/>
    </row>
    <row r="2" spans="1:10" x14ac:dyDescent="0.35">
      <c r="A2" s="69" t="s">
        <v>52</v>
      </c>
      <c r="B2" s="78">
        <f>('Variance-Covariance'!AD20-Ratios!J2)/'Variance-Covariance'!AF20</f>
        <v>0.68427688991440039</v>
      </c>
      <c r="C2" s="74">
        <f>('Variance-Covariance'!AD34-Ratios!J2)/'Variance-Covariance'!AF34</f>
        <v>1.2717541048910845</v>
      </c>
      <c r="D2" s="69">
        <v>1.45</v>
      </c>
      <c r="E2" s="69">
        <v>0.88</v>
      </c>
      <c r="F2" s="69">
        <v>1.05</v>
      </c>
      <c r="G2" s="53"/>
      <c r="H2" s="53"/>
      <c r="I2" s="53" t="s">
        <v>53</v>
      </c>
      <c r="J2" s="54">
        <v>0.04</v>
      </c>
    </row>
    <row r="3" spans="1:10" x14ac:dyDescent="0.35">
      <c r="A3" s="69" t="s">
        <v>54</v>
      </c>
      <c r="B3" s="70">
        <f>1.02*'Variance-Covariance'!Z20+'Variance-Covariance'!X20*1.03+'Variance-Covariance'!W20*0.99+'Variance-Covariance'!T20*1.09</f>
        <v>1.0276956676944429</v>
      </c>
      <c r="C3" s="70">
        <f>'Variance-Covariance'!AB34*1.53+'Variance-Covariance'!AA34*1.77+'Variance-Covariance'!X34*1.03+'Variance-Covariance'!W34*0.99+'Variance-Covariance'!V34*1.21+'Variance-Covariance'!T34*1.09</f>
        <v>1.2369563142933957</v>
      </c>
      <c r="D3" s="69">
        <v>0.98</v>
      </c>
      <c r="E3" s="69">
        <v>1.18</v>
      </c>
      <c r="F3" s="69">
        <v>1</v>
      </c>
      <c r="G3" s="53"/>
      <c r="H3" s="53"/>
      <c r="I3" s="53" t="s">
        <v>55</v>
      </c>
      <c r="J3" s="53"/>
    </row>
    <row r="4" spans="1:10" x14ac:dyDescent="0.35">
      <c r="A4" s="69" t="s">
        <v>56</v>
      </c>
      <c r="B4" s="77">
        <f>'Variance-Covariance'!AF20-(Ratios!J2+Ratios!B3*(J5-Ratios!J2))</f>
        <v>2.0888961230924458E-2</v>
      </c>
      <c r="C4" s="73">
        <f>'Variance-Covariance'!AD34-(Ratios!J2+Ratios!C3*(Ratios!J5-Ratios!J2))</f>
        <v>0.18514103385679012</v>
      </c>
      <c r="D4" s="71">
        <v>3.0200000000000001E-2</v>
      </c>
      <c r="E4" s="71">
        <v>-1.3299999999999999E-2</v>
      </c>
      <c r="F4" s="71">
        <v>1.6999999999999999E-3</v>
      </c>
      <c r="G4" s="53"/>
      <c r="H4" s="53"/>
      <c r="I4" s="53"/>
      <c r="J4" s="53"/>
    </row>
    <row r="5" spans="1:10" x14ac:dyDescent="0.35">
      <c r="A5" s="69" t="s">
        <v>57</v>
      </c>
      <c r="B5" s="76">
        <f>('Variance-Covariance'!AD20-Ratios!J2)/Ratios!B3</f>
        <v>0.11581252723168338</v>
      </c>
      <c r="C5" s="74">
        <f>('Variance-Covariance'!AD34-Ratios!J2)/Ratios!C3</f>
        <v>0.25967467461658167</v>
      </c>
      <c r="D5" s="70">
        <f>(D9-J2)/D3</f>
        <v>0.11826530612244898</v>
      </c>
      <c r="E5" s="121">
        <f>(E9-J2)/E3</f>
        <v>0.11508474576271187</v>
      </c>
      <c r="F5" s="70">
        <f>(J5-J2)/F3</f>
        <v>0.10999999999999999</v>
      </c>
      <c r="G5" s="53"/>
      <c r="H5" s="53"/>
      <c r="I5" s="53" t="s">
        <v>58</v>
      </c>
      <c r="J5" s="54">
        <v>0.15</v>
      </c>
    </row>
    <row r="6" spans="1:10" x14ac:dyDescent="0.35">
      <c r="A6" s="69" t="s">
        <v>59</v>
      </c>
      <c r="B6" s="72">
        <f>'Variance-Covariance'!AF20</f>
        <v>0.17393548467731315</v>
      </c>
      <c r="C6" s="75">
        <f>'Variance-Covariance'!AF34</f>
        <v>0.25256944498447076</v>
      </c>
      <c r="D6" s="71">
        <v>0.1593</v>
      </c>
      <c r="E6" s="71">
        <v>0.1883</v>
      </c>
      <c r="F6" s="71">
        <v>0.11459999999999999</v>
      </c>
      <c r="G6" s="53"/>
      <c r="H6" s="53"/>
      <c r="I6" s="53" t="s">
        <v>51</v>
      </c>
      <c r="J6" s="53"/>
    </row>
    <row r="9" spans="1:10" x14ac:dyDescent="0.35">
      <c r="A9" s="53" t="s">
        <v>135</v>
      </c>
      <c r="D9" s="91">
        <v>0.15590000000000001</v>
      </c>
      <c r="E9" s="91">
        <v>0.17580000000000001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7B6E-E7B7-4A03-9AFD-DDB801F100B7}">
  <dimension ref="A1:V23"/>
  <sheetViews>
    <sheetView topLeftCell="H1" zoomScale="80" zoomScaleNormal="80" workbookViewId="0">
      <selection activeCell="N33" sqref="N33"/>
    </sheetView>
  </sheetViews>
  <sheetFormatPr baseColWidth="10" defaultColWidth="8.6328125" defaultRowHeight="14.5" x14ac:dyDescent="0.35"/>
  <cols>
    <col min="1" max="1" width="13.453125" bestFit="1" customWidth="1"/>
    <col min="2" max="7" width="11.6328125" bestFit="1" customWidth="1"/>
    <col min="10" max="10" width="13.36328125" bestFit="1" customWidth="1"/>
    <col min="11" max="11" width="9" customWidth="1"/>
    <col min="12" max="12" width="12.36328125" bestFit="1" customWidth="1"/>
    <col min="13" max="13" width="17.36328125" bestFit="1" customWidth="1"/>
    <col min="14" max="14" width="11.81640625" bestFit="1" customWidth="1"/>
    <col min="15" max="15" width="15.81640625" bestFit="1" customWidth="1"/>
    <col min="19" max="19" width="28.453125" bestFit="1" customWidth="1"/>
    <col min="20" max="20" width="36.453125" bestFit="1" customWidth="1"/>
    <col min="21" max="21" width="17.1796875" bestFit="1" customWidth="1"/>
    <col min="23" max="28" width="9.1796875" bestFit="1" customWidth="1"/>
  </cols>
  <sheetData>
    <row r="1" spans="1:22" x14ac:dyDescent="0.35">
      <c r="F1" s="117"/>
      <c r="G1" s="117"/>
    </row>
    <row r="2" spans="1:22" x14ac:dyDescent="0.35">
      <c r="F2" s="117"/>
      <c r="G2" s="117"/>
    </row>
    <row r="7" spans="1:22" x14ac:dyDescent="0.35">
      <c r="A7" s="126" t="s">
        <v>128</v>
      </c>
      <c r="B7" s="126"/>
      <c r="C7" s="126"/>
      <c r="D7" s="126"/>
      <c r="E7" s="126"/>
    </row>
    <row r="8" spans="1:22" x14ac:dyDescent="0.35">
      <c r="A8" s="126"/>
      <c r="B8" s="126"/>
      <c r="C8" s="126"/>
      <c r="D8" s="126"/>
      <c r="E8" s="126"/>
      <c r="H8" s="55"/>
      <c r="I8" s="126" t="s">
        <v>129</v>
      </c>
      <c r="J8" s="126"/>
      <c r="K8" s="126"/>
      <c r="L8" s="126"/>
      <c r="M8" s="126"/>
      <c r="N8" s="126"/>
      <c r="O8" s="126"/>
      <c r="P8" s="126"/>
      <c r="R8" s="126" t="s">
        <v>130</v>
      </c>
      <c r="S8" s="126"/>
      <c r="T8" s="126"/>
      <c r="U8" s="126"/>
      <c r="V8" s="126"/>
    </row>
    <row r="9" spans="1:22" x14ac:dyDescent="0.35">
      <c r="A9" s="126"/>
      <c r="B9" s="126"/>
      <c r="C9" s="126"/>
      <c r="D9" s="126"/>
      <c r="E9" s="126"/>
      <c r="I9" s="126"/>
      <c r="J9" s="126"/>
      <c r="K9" s="126"/>
      <c r="L9" s="126"/>
      <c r="M9" s="126"/>
      <c r="N9" s="126"/>
      <c r="O9" s="126"/>
      <c r="P9" s="126"/>
      <c r="R9" s="126"/>
      <c r="S9" s="126"/>
      <c r="T9" s="126"/>
      <c r="U9" s="126"/>
      <c r="V9" s="126"/>
    </row>
    <row r="10" spans="1:22" x14ac:dyDescent="0.35">
      <c r="A10" s="56"/>
      <c r="B10" s="56"/>
      <c r="C10" s="56"/>
      <c r="D10" s="56"/>
      <c r="E10" s="56"/>
      <c r="I10" s="126"/>
      <c r="J10" s="126"/>
      <c r="K10" s="126"/>
      <c r="L10" s="126"/>
      <c r="M10" s="126"/>
      <c r="N10" s="126"/>
      <c r="O10" s="126"/>
      <c r="P10" s="126"/>
      <c r="R10" s="126"/>
      <c r="S10" s="126"/>
      <c r="T10" s="126"/>
      <c r="U10" s="126"/>
      <c r="V10" s="126"/>
    </row>
    <row r="11" spans="1:22" ht="18.5" x14ac:dyDescent="0.45">
      <c r="A11" s="56"/>
      <c r="B11" s="66" t="s">
        <v>60</v>
      </c>
      <c r="C11" s="67" t="s">
        <v>61</v>
      </c>
      <c r="D11" s="67" t="s">
        <v>62</v>
      </c>
      <c r="E11" s="56"/>
      <c r="I11" s="56"/>
      <c r="J11" s="56"/>
      <c r="K11" s="56"/>
      <c r="L11" s="56"/>
      <c r="M11" s="56"/>
      <c r="N11" s="56"/>
      <c r="O11" s="56"/>
      <c r="P11" s="56"/>
      <c r="R11" s="56"/>
      <c r="S11" s="56"/>
      <c r="T11" s="56"/>
      <c r="U11" s="56"/>
      <c r="V11" s="56"/>
    </row>
    <row r="12" spans="1:22" x14ac:dyDescent="0.35">
      <c r="A12" s="56"/>
      <c r="B12" s="64" t="s">
        <v>63</v>
      </c>
      <c r="C12" s="65"/>
      <c r="D12" s="63"/>
      <c r="E12" s="56"/>
      <c r="I12" s="56"/>
      <c r="J12" s="56"/>
      <c r="K12" s="56"/>
      <c r="L12" s="56"/>
      <c r="M12" s="56"/>
      <c r="N12" s="56"/>
      <c r="O12" s="56"/>
      <c r="P12" s="56"/>
      <c r="R12" s="56"/>
      <c r="S12" s="56"/>
      <c r="T12" s="56"/>
      <c r="U12" s="56"/>
      <c r="V12" s="56"/>
    </row>
    <row r="13" spans="1:22" x14ac:dyDescent="0.35">
      <c r="A13" s="56"/>
      <c r="B13" s="62" t="s">
        <v>3</v>
      </c>
      <c r="C13" s="62"/>
      <c r="D13" s="59">
        <v>0.47501974157141491</v>
      </c>
      <c r="E13" s="56"/>
      <c r="F13" s="118"/>
      <c r="G13" s="118"/>
      <c r="I13" s="56"/>
      <c r="J13" s="56"/>
      <c r="K13" s="56" t="s">
        <v>38</v>
      </c>
      <c r="L13" s="56" t="s">
        <v>48</v>
      </c>
      <c r="M13" s="56" t="s">
        <v>49</v>
      </c>
      <c r="N13" s="56" t="s">
        <v>50</v>
      </c>
      <c r="O13" s="56" t="s">
        <v>51</v>
      </c>
      <c r="P13" s="56"/>
      <c r="R13" s="56"/>
      <c r="S13" s="81" t="s">
        <v>64</v>
      </c>
      <c r="T13" s="82" t="s">
        <v>65</v>
      </c>
      <c r="U13" s="81" t="s">
        <v>66</v>
      </c>
      <c r="V13" s="56"/>
    </row>
    <row r="14" spans="1:22" ht="33" customHeight="1" x14ac:dyDescent="0.35">
      <c r="A14" s="56"/>
      <c r="B14" s="62" t="s">
        <v>9</v>
      </c>
      <c r="C14" s="62"/>
      <c r="D14" s="59">
        <v>0.1980803499155466</v>
      </c>
      <c r="E14" s="56"/>
      <c r="I14" s="56"/>
      <c r="J14" s="62" t="s">
        <v>52</v>
      </c>
      <c r="K14" s="61">
        <v>0.68427688991440039</v>
      </c>
      <c r="L14" s="61">
        <v>1.2717541048910845</v>
      </c>
      <c r="M14" s="61">
        <v>1.45</v>
      </c>
      <c r="N14" s="61">
        <v>0.88</v>
      </c>
      <c r="O14" s="61">
        <v>1.05</v>
      </c>
      <c r="P14" s="56"/>
      <c r="R14" s="56"/>
      <c r="S14" s="83" t="s">
        <v>67</v>
      </c>
      <c r="T14" s="84" t="s">
        <v>68</v>
      </c>
      <c r="U14" s="85" t="s">
        <v>69</v>
      </c>
      <c r="V14" s="56"/>
    </row>
    <row r="15" spans="1:22" x14ac:dyDescent="0.35">
      <c r="A15" s="56"/>
      <c r="B15" s="62" t="s">
        <v>4</v>
      </c>
      <c r="C15" s="62"/>
      <c r="D15" s="59">
        <v>0.14450369445422295</v>
      </c>
      <c r="E15" s="56"/>
      <c r="I15" s="56"/>
      <c r="J15" s="62" t="s">
        <v>54</v>
      </c>
      <c r="K15" s="61">
        <v>1.0276956676944429</v>
      </c>
      <c r="L15" s="61">
        <v>1.2369563142933957</v>
      </c>
      <c r="M15" s="61">
        <v>0.98</v>
      </c>
      <c r="N15" s="61">
        <v>1.18</v>
      </c>
      <c r="O15" s="61">
        <v>1</v>
      </c>
      <c r="P15" s="56"/>
      <c r="R15" s="56"/>
      <c r="S15" s="83" t="s">
        <v>70</v>
      </c>
      <c r="T15" s="84" t="s">
        <v>71</v>
      </c>
      <c r="U15" s="85" t="s">
        <v>72</v>
      </c>
      <c r="V15" s="56"/>
    </row>
    <row r="16" spans="1:22" x14ac:dyDescent="0.35">
      <c r="A16" s="56"/>
      <c r="B16" s="62" t="s">
        <v>5</v>
      </c>
      <c r="C16" s="62"/>
      <c r="D16" s="59">
        <v>0.12041573537610309</v>
      </c>
      <c r="E16" s="56"/>
      <c r="I16" s="56"/>
      <c r="J16" s="62" t="s">
        <v>56</v>
      </c>
      <c r="K16" s="61">
        <v>2.0888961230924458E-2</v>
      </c>
      <c r="L16" s="61">
        <v>0.18514103385679012</v>
      </c>
      <c r="M16" s="61">
        <v>3.0200000000000001E-2</v>
      </c>
      <c r="N16" s="61">
        <v>-1.3299999999999999E-2</v>
      </c>
      <c r="O16" s="61">
        <v>1.6999999999999999E-3</v>
      </c>
      <c r="P16" s="56"/>
      <c r="R16" s="56"/>
      <c r="S16" s="83" t="s">
        <v>73</v>
      </c>
      <c r="T16" s="84" t="s">
        <v>74</v>
      </c>
      <c r="U16" s="85" t="s">
        <v>75</v>
      </c>
      <c r="V16" s="56"/>
    </row>
    <row r="17" spans="1:22" x14ac:dyDescent="0.35">
      <c r="A17" s="56"/>
      <c r="B17" s="62" t="s">
        <v>8</v>
      </c>
      <c r="C17" s="62"/>
      <c r="D17" s="59">
        <v>3.5991036632313865E-2</v>
      </c>
      <c r="E17" s="56"/>
      <c r="I17" s="56"/>
      <c r="J17" s="57" t="s">
        <v>57</v>
      </c>
      <c r="K17" s="60">
        <v>0.11581252723168338</v>
      </c>
      <c r="L17" s="60">
        <v>0.25967467461658167</v>
      </c>
      <c r="M17" s="60">
        <v>0.11826530612244898</v>
      </c>
      <c r="N17" s="60">
        <v>0.11508474576271187</v>
      </c>
      <c r="O17" s="60">
        <v>0.10999999999999999</v>
      </c>
      <c r="P17" s="56"/>
      <c r="R17" s="56"/>
      <c r="S17" s="86" t="s">
        <v>76</v>
      </c>
      <c r="T17" s="87" t="s">
        <v>77</v>
      </c>
      <c r="U17" s="88">
        <v>0</v>
      </c>
      <c r="V17" s="56"/>
    </row>
    <row r="18" spans="1:22" x14ac:dyDescent="0.35">
      <c r="A18" s="56"/>
      <c r="B18" s="62" t="s">
        <v>1</v>
      </c>
      <c r="C18" s="62"/>
      <c r="D18" s="59">
        <v>2.5989442050399002E-2</v>
      </c>
      <c r="E18" s="56"/>
      <c r="I18" s="56"/>
      <c r="J18" s="56"/>
      <c r="K18" s="56"/>
      <c r="L18" s="56"/>
      <c r="M18" s="56"/>
      <c r="N18" s="56"/>
      <c r="O18" s="56"/>
      <c r="P18" s="56"/>
      <c r="R18" s="56"/>
      <c r="S18" s="56"/>
      <c r="T18" s="56"/>
      <c r="U18" s="56"/>
      <c r="V18" s="56"/>
    </row>
    <row r="19" spans="1:22" x14ac:dyDescent="0.35">
      <c r="A19" s="56"/>
      <c r="B19" s="62" t="s">
        <v>2</v>
      </c>
      <c r="C19" s="62"/>
      <c r="D19" s="59">
        <v>0</v>
      </c>
      <c r="E19" s="56"/>
      <c r="I19" s="56"/>
      <c r="J19" s="56"/>
      <c r="K19" s="56"/>
      <c r="L19" s="56"/>
      <c r="M19" s="56"/>
      <c r="N19" s="56"/>
      <c r="O19" s="56"/>
      <c r="P19" s="56"/>
      <c r="R19" s="56"/>
      <c r="S19" s="56"/>
      <c r="T19" s="56"/>
      <c r="U19" s="56"/>
      <c r="V19" s="56"/>
    </row>
    <row r="20" spans="1:22" x14ac:dyDescent="0.35">
      <c r="A20" s="56"/>
      <c r="B20" s="62" t="s">
        <v>6</v>
      </c>
      <c r="C20" s="62"/>
      <c r="D20" s="59">
        <v>0</v>
      </c>
      <c r="E20" s="56"/>
      <c r="R20" s="56"/>
      <c r="S20" s="56"/>
      <c r="T20" s="56"/>
      <c r="U20" s="56"/>
      <c r="V20" s="56"/>
    </row>
    <row r="21" spans="1:22" x14ac:dyDescent="0.35">
      <c r="A21" s="56"/>
      <c r="B21" s="62" t="s">
        <v>7</v>
      </c>
      <c r="C21" s="62"/>
      <c r="D21" s="59">
        <v>0</v>
      </c>
      <c r="E21" s="56"/>
    </row>
    <row r="22" spans="1:22" x14ac:dyDescent="0.35">
      <c r="A22" s="56"/>
      <c r="B22" s="57" t="s">
        <v>10</v>
      </c>
      <c r="C22" s="57"/>
      <c r="D22" s="58">
        <v>0</v>
      </c>
      <c r="E22" s="56"/>
    </row>
    <row r="23" spans="1:22" x14ac:dyDescent="0.35">
      <c r="A23" s="56"/>
      <c r="B23" s="56"/>
      <c r="C23" s="56"/>
      <c r="D23" s="56"/>
      <c r="E23" s="56"/>
    </row>
  </sheetData>
  <mergeCells count="3">
    <mergeCell ref="A7:E9"/>
    <mergeCell ref="I8:P10"/>
    <mergeCell ref="R8:V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BD38-39B1-4CA5-825E-4EFB59A4B223}">
  <dimension ref="A1:AX69"/>
  <sheetViews>
    <sheetView zoomScale="85" workbookViewId="0">
      <selection activeCell="AC36" sqref="AC36"/>
    </sheetView>
  </sheetViews>
  <sheetFormatPr baseColWidth="10" defaultColWidth="8.6328125" defaultRowHeight="14.5" x14ac:dyDescent="0.35"/>
  <cols>
    <col min="1" max="1" width="25.453125" bestFit="1" customWidth="1"/>
    <col min="14" max="14" width="9.453125" customWidth="1"/>
    <col min="15" max="15" width="9.453125" bestFit="1" customWidth="1"/>
    <col min="16" max="16" width="7.453125" bestFit="1" customWidth="1"/>
    <col min="20" max="20" width="20.1796875" bestFit="1" customWidth="1"/>
    <col min="21" max="21" width="36.453125" bestFit="1" customWidth="1"/>
    <col min="25" max="25" width="11.36328125" bestFit="1" customWidth="1"/>
    <col min="26" max="26" width="33.81640625" bestFit="1" customWidth="1"/>
    <col min="27" max="27" width="24.453125" bestFit="1" customWidth="1"/>
    <col min="28" max="28" width="23.453125" bestFit="1" customWidth="1"/>
    <col min="29" max="29" width="13.81640625" bestFit="1" customWidth="1"/>
    <col min="30" max="30" width="33.81640625" bestFit="1" customWidth="1"/>
    <col min="31" max="31" width="24.453125" bestFit="1" customWidth="1"/>
    <col min="32" max="32" width="23.453125" bestFit="1" customWidth="1"/>
    <col min="33" max="33" width="13.81640625" bestFit="1" customWidth="1"/>
    <col min="36" max="36" width="21.1796875" bestFit="1" customWidth="1"/>
    <col min="46" max="46" width="17.81640625" bestFit="1" customWidth="1"/>
    <col min="48" max="48" width="62.1796875" customWidth="1"/>
  </cols>
  <sheetData>
    <row r="1" spans="1:49" ht="18.5" x14ac:dyDescent="0.45">
      <c r="A1" s="6"/>
      <c r="B1" s="127" t="s">
        <v>11</v>
      </c>
      <c r="C1" s="128"/>
      <c r="D1" s="128"/>
      <c r="E1" s="128"/>
      <c r="F1" s="128"/>
      <c r="G1" s="128"/>
      <c r="H1" s="128"/>
      <c r="I1" s="128"/>
      <c r="J1" s="128"/>
      <c r="K1" s="129"/>
      <c r="N1" s="68" t="s">
        <v>3</v>
      </c>
      <c r="O1" s="68" t="s">
        <v>9</v>
      </c>
      <c r="P1" s="68" t="s">
        <v>4</v>
      </c>
      <c r="Q1" s="68" t="s">
        <v>5</v>
      </c>
      <c r="R1" s="68" t="s">
        <v>8</v>
      </c>
      <c r="S1" s="68" t="s">
        <v>1</v>
      </c>
      <c r="T1" s="68" t="s">
        <v>78</v>
      </c>
      <c r="U1" s="119" t="s">
        <v>131</v>
      </c>
      <c r="W1" s="68"/>
    </row>
    <row r="2" spans="1:49" ht="18.5" x14ac:dyDescent="0.45">
      <c r="A2" s="6" t="s">
        <v>0</v>
      </c>
      <c r="B2" s="68" t="s">
        <v>1</v>
      </c>
      <c r="C2" s="68" t="s">
        <v>2</v>
      </c>
      <c r="D2" s="68" t="s">
        <v>3</v>
      </c>
      <c r="E2" s="68" t="s">
        <v>4</v>
      </c>
      <c r="F2" s="68" t="s">
        <v>5</v>
      </c>
      <c r="G2" s="68" t="s">
        <v>6</v>
      </c>
      <c r="H2" s="68" t="s">
        <v>7</v>
      </c>
      <c r="I2" s="68" t="s">
        <v>8</v>
      </c>
      <c r="J2" s="68" t="s">
        <v>9</v>
      </c>
      <c r="K2" s="68" t="s">
        <v>10</v>
      </c>
      <c r="M2">
        <v>2020</v>
      </c>
      <c r="N2" s="3">
        <f>(((1+AVERAGE(D3:D6))^12)-1)*$O13</f>
        <v>0.45380929226021749</v>
      </c>
      <c r="O2" s="3">
        <f>(((1+AVERAGE(J3:J6))^12)-1)*19.81%</f>
        <v>9.8416798856349741E-3</v>
      </c>
      <c r="P2" s="3">
        <f>(((1+AVERAGE(E3:E6))^12)-1)*14.45%</f>
        <v>0.13069951640680053</v>
      </c>
      <c r="Q2" s="3">
        <f>(((1+AVERAGE(F3:F6))^12)-1)*12.04%</f>
        <v>-2.1707851153236143E-2</v>
      </c>
      <c r="R2" s="3">
        <f>(((1+AVERAGE(I3:I6))^12)-1)*3.6%</f>
        <v>-4.1086815435925567E-3</v>
      </c>
      <c r="S2" s="3">
        <f>(((1+AVERAGE(B3:B6))^12)-1)*2.6%</f>
        <v>1.24167369868982E-2</v>
      </c>
      <c r="T2" s="3">
        <f t="shared" ref="T2:T7" si="0">SUM(N2:S2)</f>
        <v>0.58095069284272249</v>
      </c>
      <c r="U2" s="120">
        <f>10000*(1+T2)</f>
        <v>15809.506928427223</v>
      </c>
      <c r="W2" s="3"/>
      <c r="X2" s="3"/>
    </row>
    <row r="3" spans="1:49" ht="18.5" x14ac:dyDescent="0.45">
      <c r="A3" s="7">
        <v>44075</v>
      </c>
      <c r="B3" s="3">
        <f>LN('Historical Data'!B4/'Historical Data'!B3)</f>
        <v>-6.1887453874919993E-2</v>
      </c>
      <c r="C3" s="3">
        <f>LN('Historical Data'!C4/'Historical Data'!C3)</f>
        <v>-3.640893151011803E-2</v>
      </c>
      <c r="D3" s="3">
        <f>LN('Historical Data'!D4/'Historical Data'!D3)</f>
        <v>-3.2081465850851081E-2</v>
      </c>
      <c r="E3" s="3">
        <f>LN('Historical Data'!E4/'Historical Data'!E3)</f>
        <v>9.7757422471977648E-2</v>
      </c>
      <c r="F3" s="3">
        <f>LN('Historical Data'!F4/'Historical Data'!F3)</f>
        <v>-0.15836842750215305</v>
      </c>
      <c r="G3" s="3">
        <f>LN('Historical Data'!G4/'Historical Data'!G3)</f>
        <v>4.6091129526474447E-3</v>
      </c>
      <c r="H3" s="3">
        <f>LN('Historical Data'!H4/'Historical Data'!H3)</f>
        <v>-3.8086154811212615E-2</v>
      </c>
      <c r="I3" s="3">
        <f>LN('Historical Data'!I4/'Historical Data'!I3)</f>
        <v>-7.6202872552745868E-2</v>
      </c>
      <c r="J3" s="3">
        <f>LN('Historical Data'!J4/'Historical Data'!J3)</f>
        <v>-6.2018299215212777E-2</v>
      </c>
      <c r="K3" s="3">
        <f>LN('Historical Data'!K4/'Historical Data'!K3)</f>
        <v>-0.100371310786385</v>
      </c>
      <c r="M3">
        <v>2021</v>
      </c>
      <c r="N3" s="3">
        <f>(((1+AVERAGE(D7:D18))^12)-1)*47.5%</f>
        <v>0.15886573627743225</v>
      </c>
      <c r="O3" s="3">
        <f>(((1+AVERAGE(J7:J18))^12)-1)*19.81%</f>
        <v>7.0993214200682525E-2</v>
      </c>
      <c r="P3" s="79">
        <f>(((1+AVERAGE(E7:E18))^12)-1)*14.45%</f>
        <v>6.8143774920413541E-2</v>
      </c>
      <c r="Q3" s="3">
        <f>(((1+AVERAGE(F7:F18))^12)-1)*12.04%</f>
        <v>2.7146384567587965E-2</v>
      </c>
      <c r="R3" s="3">
        <f>(((1+AVERAGE(I7:I18))^12)-1)*3.6%</f>
        <v>3.0827295302262404E-2</v>
      </c>
      <c r="S3" s="3">
        <f>(((1+AVERAGE(B7:B18))^12)-1)*2.6%</f>
        <v>8.5320901498409756E-3</v>
      </c>
      <c r="T3" s="3">
        <f t="shared" si="0"/>
        <v>0.36450849541821967</v>
      </c>
      <c r="U3" s="120">
        <f>U2*(1+T3)</f>
        <v>21572.206512212149</v>
      </c>
      <c r="W3" s="3"/>
      <c r="X3" s="3"/>
      <c r="AA3" s="126" t="s">
        <v>132</v>
      </c>
      <c r="AB3" s="126"/>
      <c r="AC3" s="126"/>
      <c r="AD3" s="126"/>
      <c r="AE3" s="126"/>
      <c r="AJ3" s="126" t="s">
        <v>133</v>
      </c>
      <c r="AK3" s="126"/>
      <c r="AL3" s="126"/>
      <c r="AM3" s="126"/>
      <c r="AN3" s="126"/>
      <c r="AO3" s="126"/>
      <c r="AT3" s="126" t="s">
        <v>134</v>
      </c>
      <c r="AU3" s="126"/>
      <c r="AV3" s="126"/>
    </row>
    <row r="4" spans="1:49" ht="18.5" x14ac:dyDescent="0.45">
      <c r="A4" s="7">
        <v>44105</v>
      </c>
      <c r="B4" s="3">
        <f>LN('Historical Data'!B5/'Historical Data'!B4)</f>
        <v>8.9480935871332171E-2</v>
      </c>
      <c r="C4" s="3">
        <f>LN('Historical Data'!C5/'Historical Data'!C4)</f>
        <v>4.2522834707578269E-2</v>
      </c>
      <c r="D4" s="3">
        <f>LN('Historical Data'!D5/'Historical Data'!D4)</f>
        <v>0.13853124811317888</v>
      </c>
      <c r="E4" s="3">
        <f>LN('Historical Data'!E5/'Historical Data'!E4)</f>
        <v>8.2104808530992626E-2</v>
      </c>
      <c r="F4" s="3">
        <f>LN('Historical Data'!F5/'Historical Data'!F4)</f>
        <v>0.15461168356274446</v>
      </c>
      <c r="G4" s="3">
        <f>LN('Historical Data'!G5/'Historical Data'!G4)</f>
        <v>5.1337079631452377E-2</v>
      </c>
      <c r="H4" s="3">
        <f>LN('Historical Data'!H5/'Historical Data'!H4)</f>
        <v>5.5710967336991574E-2</v>
      </c>
      <c r="I4" s="3">
        <f>LN('Historical Data'!I5/'Historical Data'!I4)</f>
        <v>6.6922469687881028E-2</v>
      </c>
      <c r="J4" s="3">
        <f>LN('Historical Data'!J5/'Historical Data'!J4)</f>
        <v>3.2331157417114433E-2</v>
      </c>
      <c r="K4" s="3">
        <f>LN('Historical Data'!K5/'Historical Data'!K4)</f>
        <v>0.38030826048744676</v>
      </c>
      <c r="M4">
        <v>2022</v>
      </c>
      <c r="N4" s="3">
        <f>(((1+AVERAGE(E19:E30))^12)-1)*47.5%</f>
        <v>-0.12945777491721469</v>
      </c>
      <c r="O4" s="3">
        <f>(((1+AVERAGE(J19:J30))^12)-1)*19.81%</f>
        <v>2.1467473303373796E-2</v>
      </c>
      <c r="P4" s="3">
        <f>(((1+AVERAGE(E19:E30))^12)-1)*14.45%</f>
        <v>-3.9382417843236893E-2</v>
      </c>
      <c r="Q4" s="3">
        <f>(((1+AVERAGE(F19:F30))^12)-1)*12.04%</f>
        <v>-4.2468574173263416E-3</v>
      </c>
      <c r="R4" s="3">
        <f>(((1+AVERAGE(I19:I30))^12)-1)*3.6%</f>
        <v>-7.3105660255303549E-3</v>
      </c>
      <c r="S4" s="3">
        <f>(((1+AVERAGE(B19:B30))^12)-1)*2.6%</f>
        <v>-4.4424701775276831E-3</v>
      </c>
      <c r="T4" s="3">
        <f t="shared" si="0"/>
        <v>-0.16337261307746215</v>
      </c>
      <c r="U4" s="120">
        <f>U3*(1+T4)</f>
        <v>18047.898764465404</v>
      </c>
      <c r="W4" s="3"/>
      <c r="X4" s="3"/>
      <c r="AA4" s="126"/>
      <c r="AB4" s="126"/>
      <c r="AC4" s="126"/>
      <c r="AD4" s="126"/>
      <c r="AE4" s="126"/>
      <c r="AJ4" s="126"/>
      <c r="AK4" s="126"/>
      <c r="AL4" s="126"/>
      <c r="AM4" s="126"/>
      <c r="AN4" s="126"/>
      <c r="AO4" s="126"/>
      <c r="AT4" s="126"/>
      <c r="AU4" s="126"/>
      <c r="AV4" s="126"/>
    </row>
    <row r="5" spans="1:49" ht="18.5" x14ac:dyDescent="0.45">
      <c r="A5" s="7">
        <v>44136</v>
      </c>
      <c r="B5" s="3">
        <f>LN('Historical Data'!B6/'Historical Data'!B5)</f>
        <v>0.11019535320538647</v>
      </c>
      <c r="C5" s="3">
        <f>LN('Historical Data'!C6/'Historical Data'!C5)</f>
        <v>2.767193375733203E-2</v>
      </c>
      <c r="D5" s="3">
        <f>LN('Historical Data'!D6/'Historical Data'!D5)</f>
        <v>8.6469641104843731E-2</v>
      </c>
      <c r="E5" s="3">
        <f>LN('Historical Data'!E6/'Historical Data'!E5)</f>
        <v>-1.0034977409553211E-3</v>
      </c>
      <c r="F5" s="3">
        <f>LN('Historical Data'!F6/'Historical Data'!F5)</f>
        <v>5.8939717402266327E-2</v>
      </c>
      <c r="G5" s="3">
        <f>LN('Historical Data'!G6/'Historical Data'!G5)</f>
        <v>-1.3851286473141782E-2</v>
      </c>
      <c r="H5" s="3">
        <f>LN('Historical Data'!H6/'Historical Data'!H5)</f>
        <v>4.0879423675771034E-2</v>
      </c>
      <c r="I5" s="3">
        <f>LN('Historical Data'!I6/'Historical Data'!I5)</f>
        <v>-2.6195775346695586E-2</v>
      </c>
      <c r="J5" s="3">
        <f>LN('Historical Data'!J6/'Historical Data'!J5)</f>
        <v>0.11400258924071206</v>
      </c>
      <c r="K5" s="3">
        <f>LN('Historical Data'!K6/'Historical Data'!K5)</f>
        <v>0.21773061912596831</v>
      </c>
      <c r="M5">
        <v>2023</v>
      </c>
      <c r="N5" s="3">
        <f>(((1+AVERAGE(D31:D42))^12)-1)*47.5%</f>
        <v>0.48453739325197964</v>
      </c>
      <c r="O5" s="3">
        <f>(((1+AVERAGE(J31:J42))^12)-1)*19.81%</f>
        <v>5.5201673182470601E-2</v>
      </c>
      <c r="P5" s="3">
        <f>(((1+AVERAGE(E31:E42))^12)-1)*14.45%</f>
        <v>5.930401450965582E-2</v>
      </c>
      <c r="Q5" s="3">
        <f>(((1+AVERAGE(F31:F42))^12)-1)*12.04%</f>
        <v>2.6197457018885918E-2</v>
      </c>
      <c r="R5" s="3">
        <f>(((1+AVERAGE(I31:I42))^12)-1)*3.6%</f>
        <v>7.1718214616803E-2</v>
      </c>
      <c r="S5" s="3">
        <f>(((1+AVERAGE(B31:B42))^12)-1)*2.6%</f>
        <v>7.326966455457805E-3</v>
      </c>
      <c r="T5" s="3">
        <f t="shared" si="0"/>
        <v>0.70428571903525272</v>
      </c>
      <c r="U5" s="120">
        <f>U4*(1+T5)</f>
        <v>30758.776122872372</v>
      </c>
      <c r="W5" s="3"/>
      <c r="X5" s="3"/>
      <c r="AA5" s="126"/>
      <c r="AB5" s="126"/>
      <c r="AC5" s="126"/>
      <c r="AD5" s="126"/>
      <c r="AE5" s="126"/>
      <c r="AJ5" s="126"/>
      <c r="AK5" s="126"/>
      <c r="AL5" s="126"/>
      <c r="AM5" s="126"/>
      <c r="AN5" s="126"/>
      <c r="AO5" s="126"/>
      <c r="AT5" s="126"/>
      <c r="AU5" s="126"/>
      <c r="AV5" s="126"/>
    </row>
    <row r="6" spans="1:49" ht="18.5" x14ac:dyDescent="0.45">
      <c r="A6" s="7">
        <v>44166</v>
      </c>
      <c r="B6" s="3">
        <f>LN('Historical Data'!B7/'Historical Data'!B6)</f>
        <v>-5.5166637953627468E-3</v>
      </c>
      <c r="C6" s="3">
        <f>LN('Historical Data'!C7/'Historical Data'!C6)</f>
        <v>-1.5698598618990936E-2</v>
      </c>
      <c r="D6" s="3">
        <f>LN('Historical Data'!D7/'Historical Data'!D6)</f>
        <v>3.6966629641605048E-2</v>
      </c>
      <c r="E6" s="3">
        <f>LN('Historical Data'!E7/'Historical Data'!E6)</f>
        <v>4.1748863215721882E-2</v>
      </c>
      <c r="F6" s="3">
        <f>LN('Historical Data'!F7/'Historical Data'!F6)</f>
        <v>-0.12090838424878265</v>
      </c>
      <c r="G6" s="3">
        <f>LN('Historical Data'!G7/'Historical Data'!G6)</f>
        <v>-5.5819713351147542E-2</v>
      </c>
      <c r="H6" s="3">
        <f>LN('Historical Data'!H7/'Historical Data'!H6)</f>
        <v>4.1997263060384232E-2</v>
      </c>
      <c r="I6" s="3">
        <f>LN('Historical Data'!I7/'Historical Data'!I6)</f>
        <v>-4.7155749199687185E-3</v>
      </c>
      <c r="J6" s="3">
        <f>LN('Historical Data'!J7/'Historical Data'!J6)</f>
        <v>-6.8120852039201096E-2</v>
      </c>
      <c r="K6" s="3">
        <f>LN('Historical Data'!K7/'Historical Data'!K6)</f>
        <v>0.11734378202329922</v>
      </c>
      <c r="M6">
        <v>2024</v>
      </c>
      <c r="N6" s="3">
        <f>(((1+AVERAGE(D43:D54))^12)-1)*47.5%</f>
        <v>0.41285187746113577</v>
      </c>
      <c r="O6" s="3">
        <f>(((1+AVERAGE(J43:J54))^12)-1)*19.81%</f>
        <v>0.10487483399032367</v>
      </c>
      <c r="P6" s="3">
        <f>(((1+AVERAGE(E43:E54))^12)-1)*14.45%</f>
        <v>6.5452882784433133E-2</v>
      </c>
      <c r="Q6" s="3">
        <f>(((1+AVERAGE(F43:F54))^12)-1)*12.04%</f>
        <v>2.903165128175636E-2</v>
      </c>
      <c r="R6" s="3">
        <f>(((1+AVERAGE(I43:I54))^12)-1)*3.6%</f>
        <v>3.3021960870593739E-2</v>
      </c>
      <c r="S6" s="3">
        <f>(((1+AVERAGE(B43:B54))^12)-1)*2.6%</f>
        <v>7.3516317391837281E-3</v>
      </c>
      <c r="T6" s="3">
        <f t="shared" si="0"/>
        <v>0.6525848381274264</v>
      </c>
      <c r="U6" s="120">
        <f>U5*(1+T6)</f>
        <v>50831.487060014784</v>
      </c>
      <c r="W6" s="3"/>
      <c r="X6" s="3"/>
      <c r="AA6" s="126"/>
      <c r="AB6" s="126"/>
      <c r="AC6" s="126"/>
      <c r="AD6" s="126"/>
      <c r="AE6" s="12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</row>
    <row r="7" spans="1:49" ht="18.5" x14ac:dyDescent="0.45">
      <c r="A7" s="7">
        <v>44197</v>
      </c>
      <c r="B7" s="3">
        <f>LN('Historical Data'!B8/'Historical Data'!B7)</f>
        <v>-8.4561528241633863E-2</v>
      </c>
      <c r="C7" s="3">
        <f>LN('Historical Data'!C8/'Historical Data'!C7)</f>
        <v>-3.5967573575716387E-2</v>
      </c>
      <c r="D7" s="3">
        <f>LN('Historical Data'!D8/'Historical Data'!D7)</f>
        <v>4.2097648104560591E-2</v>
      </c>
      <c r="E7" s="3">
        <f>LN('Historical Data'!E8/'Historical Data'!E7)</f>
        <v>0.10117022946559021</v>
      </c>
      <c r="F7" s="3">
        <f>LN('Historical Data'!F8/'Historical Data'!F7)</f>
        <v>0.11348062161920829</v>
      </c>
      <c r="G7" s="3">
        <f>LN('Historical Data'!G8/'Historical Data'!G7)</f>
        <v>-2.7524014092933815E-3</v>
      </c>
      <c r="H7" s="3">
        <f>LN('Historical Data'!H8/'Historical Data'!H7)</f>
        <v>1.8091945866774556E-3</v>
      </c>
      <c r="I7" s="3">
        <f>LN('Historical Data'!I8/'Historical Data'!I7)</f>
        <v>5.4293258097365821E-2</v>
      </c>
      <c r="J7" s="3">
        <f>LN('Historical Data'!J8/'Historical Data'!J7)</f>
        <v>6.9153807139363865E-2</v>
      </c>
      <c r="K7" s="3">
        <f>LN('Historical Data'!K8/'Historical Data'!K7)</f>
        <v>-0.16103804099642244</v>
      </c>
      <c r="M7">
        <v>2025</v>
      </c>
      <c r="N7" s="3">
        <f>(((1+AVERAGE(D55:D63))^12)-1)*47.5%</f>
        <v>0.40821342244425873</v>
      </c>
      <c r="O7" s="3">
        <f>(((1+AVERAGE(J55:J63))^12)-1)*19.81%</f>
        <v>0.24250313844072247</v>
      </c>
      <c r="P7" s="3">
        <f>(((1+AVERAGE(E55:E63))^12)-1)*14.45%</f>
        <v>4.6655330158779013E-2</v>
      </c>
      <c r="Q7" s="3">
        <f>(((1+AVERAGE(F55:F63))^12)-1)*12.04%</f>
        <v>-6.9065823961089669E-4</v>
      </c>
      <c r="R7" s="3">
        <f>(((1+AVERAGE(I55:I63))^12)-1)*3.6%</f>
        <v>2.5843522964769394E-2</v>
      </c>
      <c r="S7" s="3">
        <f>(((1+AVERAGE(B55:B63))^12)-1)*2.6%</f>
        <v>1.8212167433195991E-3</v>
      </c>
      <c r="T7" s="3">
        <f t="shared" si="0"/>
        <v>0.72434597251223831</v>
      </c>
      <c r="U7" s="120">
        <f>U6*(1+T7)</f>
        <v>87651.06998874445</v>
      </c>
      <c r="W7" s="3"/>
      <c r="X7" s="3"/>
      <c r="Y7" s="24" t="s">
        <v>79</v>
      </c>
      <c r="Z7" s="24" t="s">
        <v>80</v>
      </c>
      <c r="AA7" s="24" t="s">
        <v>81</v>
      </c>
      <c r="AB7" s="24" t="s">
        <v>82</v>
      </c>
      <c r="AC7" t="s">
        <v>83</v>
      </c>
      <c r="AD7" s="24" t="s">
        <v>84</v>
      </c>
      <c r="AE7" s="24" t="s">
        <v>50</v>
      </c>
      <c r="AF7" s="24" t="s">
        <v>85</v>
      </c>
      <c r="AG7" t="s">
        <v>83</v>
      </c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</row>
    <row r="8" spans="1:49" x14ac:dyDescent="0.35">
      <c r="A8" s="7">
        <v>44228</v>
      </c>
      <c r="B8" s="3">
        <f>LN('Historical Data'!B9/'Historical Data'!B8)</f>
        <v>8.8054105487271311E-3</v>
      </c>
      <c r="C8" s="3">
        <f>LN('Historical Data'!C9/'Historical Data'!C8)</f>
        <v>3.7174661532602977E-4</v>
      </c>
      <c r="D8" s="3">
        <f>LN('Historical Data'!D9/'Historical Data'!D8)</f>
        <v>-1.3304413628523228E-2</v>
      </c>
      <c r="E8" s="3">
        <f>LN('Historical Data'!E9/'Historical Data'!E8)</f>
        <v>1.9886013250264397E-2</v>
      </c>
      <c r="F8" s="3">
        <f>LN('Historical Data'!F9/'Historical Data'!F8)</f>
        <v>6.1978113625538673E-3</v>
      </c>
      <c r="G8" s="3">
        <f>LN('Historical Data'!G9/'Historical Data'!G8)</f>
        <v>0.13389503692622345</v>
      </c>
      <c r="H8" s="3">
        <f>LN('Historical Data'!H9/'Historical Data'!H8)</f>
        <v>1.6783527558111161E-2</v>
      </c>
      <c r="I8" s="3">
        <f>LN('Historical Data'!I9/'Historical Data'!I8)</f>
        <v>-2.7068136054657993E-2</v>
      </c>
      <c r="J8" s="3">
        <f>LN('Historical Data'!J9/'Historical Data'!J8)</f>
        <v>8.4100588802992329E-2</v>
      </c>
      <c r="K8" s="3">
        <f>LN('Historical Data'!K9/'Historical Data'!K8)</f>
        <v>-1.1270077528446894E-2</v>
      </c>
      <c r="Y8">
        <v>2020</v>
      </c>
      <c r="AD8">
        <v>10000</v>
      </c>
      <c r="AE8">
        <v>10000</v>
      </c>
      <c r="AF8">
        <v>10000</v>
      </c>
      <c r="AG8">
        <v>10000</v>
      </c>
      <c r="AI8" s="56"/>
      <c r="AJ8" s="80" t="s">
        <v>86</v>
      </c>
      <c r="AK8" s="92">
        <v>2020</v>
      </c>
      <c r="AL8" s="92">
        <v>2021</v>
      </c>
      <c r="AM8" s="92">
        <v>2022</v>
      </c>
      <c r="AN8" s="92">
        <v>2023</v>
      </c>
      <c r="AO8" s="92">
        <v>2024</v>
      </c>
      <c r="AP8" s="92">
        <v>2025</v>
      </c>
      <c r="AQ8" s="56"/>
      <c r="AR8" s="56"/>
      <c r="AS8" s="56"/>
      <c r="AT8" s="81" t="s">
        <v>88</v>
      </c>
      <c r="AU8" s="81" t="s">
        <v>89</v>
      </c>
      <c r="AV8" s="82" t="s">
        <v>90</v>
      </c>
      <c r="AW8" s="56"/>
    </row>
    <row r="9" spans="1:49" ht="29" x14ac:dyDescent="0.35">
      <c r="A9" s="7">
        <v>44256</v>
      </c>
      <c r="B9" s="3">
        <f>LN('Historical Data'!B10/'Historical Data'!B9)</f>
        <v>7.3452977460266314E-2</v>
      </c>
      <c r="C9" s="3">
        <f>LN('Historical Data'!C10/'Historical Data'!C9)</f>
        <v>0.11392019325058272</v>
      </c>
      <c r="D9" s="3">
        <f>LN('Historical Data'!D10/'Historical Data'!D9)</f>
        <v>-8.4339227399363465E-3</v>
      </c>
      <c r="E9" s="3">
        <f>LN('Historical Data'!E10/'Historical Data'!E9)</f>
        <v>0.13197469319383717</v>
      </c>
      <c r="F9" s="3">
        <f>LN('Historical Data'!F10/'Historical Data'!F9)</f>
        <v>7.0506760632270252E-2</v>
      </c>
      <c r="G9" s="3">
        <f>LN('Historical Data'!G10/'Historical Data'!G9)</f>
        <v>9.8690382758579318E-2</v>
      </c>
      <c r="H9" s="3">
        <f>LN('Historical Data'!H10/'Historical Data'!H9)</f>
        <v>6.7286131566296467E-2</v>
      </c>
      <c r="I9" s="3">
        <f>LN('Historical Data'!I10/'Historical Data'!I9)</f>
        <v>0.11764313075475889</v>
      </c>
      <c r="J9" s="3">
        <f>LN('Historical Data'!J10/'Historical Data'!J9)</f>
        <v>7.7045781460902379E-2</v>
      </c>
      <c r="K9" s="3">
        <f>LN('Historical Data'!K10/'Historical Data'!K9)</f>
        <v>6.0292698517660941E-2</v>
      </c>
      <c r="Y9">
        <v>2021</v>
      </c>
      <c r="Z9" s="89">
        <v>0.56040000000000001</v>
      </c>
      <c r="AA9" s="89">
        <v>0.20960000000000001</v>
      </c>
      <c r="AB9" s="89">
        <v>0.159</v>
      </c>
      <c r="AC9" s="91">
        <v>0.58095069284272249</v>
      </c>
      <c r="AD9" s="9">
        <f>AD8*(1+Z9)</f>
        <v>15604</v>
      </c>
      <c r="AE9" s="9">
        <f t="shared" ref="AE9:AG14" si="1">AE8*(1+AA9)</f>
        <v>12096</v>
      </c>
      <c r="AF9" s="9">
        <f t="shared" si="1"/>
        <v>11590</v>
      </c>
      <c r="AG9" s="9">
        <f t="shared" si="1"/>
        <v>15809.506928427223</v>
      </c>
      <c r="AI9" s="56"/>
      <c r="AJ9" s="86" t="s">
        <v>87</v>
      </c>
      <c r="AK9" s="93">
        <v>0.58095069284272249</v>
      </c>
      <c r="AL9" s="93">
        <v>0.36450849541821967</v>
      </c>
      <c r="AM9" s="93">
        <v>-0.16337261307746215</v>
      </c>
      <c r="AN9" s="93">
        <v>0.70428571903525272</v>
      </c>
      <c r="AO9" s="93">
        <v>0.6525848381274264</v>
      </c>
      <c r="AP9" s="93">
        <v>0.72434597251223831</v>
      </c>
      <c r="AQ9" s="56"/>
      <c r="AR9" s="56"/>
      <c r="AS9" s="56"/>
      <c r="AT9" s="83" t="s">
        <v>91</v>
      </c>
      <c r="AU9" s="62" t="s">
        <v>92</v>
      </c>
      <c r="AV9" s="84" t="s">
        <v>93</v>
      </c>
      <c r="AW9" s="56"/>
    </row>
    <row r="10" spans="1:49" ht="29" x14ac:dyDescent="0.35">
      <c r="A10" s="7">
        <v>44287</v>
      </c>
      <c r="B10" s="3">
        <f>LN('Historical Data'!B11/'Historical Data'!B10)</f>
        <v>-5.351387804640572E-2</v>
      </c>
      <c r="C10" s="3">
        <f>LN('Historical Data'!C11/'Historical Data'!C10)</f>
        <v>-7.3076480070740385E-2</v>
      </c>
      <c r="D10" s="3">
        <f>LN('Historical Data'!D11/'Historical Data'!D10)</f>
        <v>3.4746641107891607E-2</v>
      </c>
      <c r="E10" s="3">
        <f>LN('Historical Data'!E11/'Historical Data'!E10)</f>
        <v>1.4228049609312638E-3</v>
      </c>
      <c r="F10" s="3">
        <f>LN('Historical Data'!F11/'Historical Data'!F10)</f>
        <v>-5.6677503556045304E-2</v>
      </c>
      <c r="G10" s="3">
        <f>LN('Historical Data'!G11/'Historical Data'!G10)</f>
        <v>1.1165634963294559E-2</v>
      </c>
      <c r="H10" s="3">
        <f>LN('Historical Data'!H11/'Historical Data'!H10)</f>
        <v>-9.9631258055516616E-3</v>
      </c>
      <c r="I10" s="3">
        <f>LN('Historical Data'!I11/'Historical Data'!I10)</f>
        <v>7.9071026935706196E-2</v>
      </c>
      <c r="J10" s="3">
        <f>LN('Historical Data'!J11/'Historical Data'!J10)</f>
        <v>4.2502194609303552E-2</v>
      </c>
      <c r="K10" s="3">
        <f>LN('Historical Data'!K11/'Historical Data'!K10)</f>
        <v>-0.12637217868532388</v>
      </c>
      <c r="Y10">
        <v>2022</v>
      </c>
      <c r="Z10" s="89">
        <v>0.18490000000000001</v>
      </c>
      <c r="AA10" s="89">
        <v>0.2646</v>
      </c>
      <c r="AB10" s="89">
        <v>0.21820000000000001</v>
      </c>
      <c r="AC10" s="91">
        <v>0.36450849541821967</v>
      </c>
      <c r="AD10" s="9">
        <f t="shared" ref="AD10:AD14" si="2">AD9*(1+Z10)</f>
        <v>18489.179599999999</v>
      </c>
      <c r="AE10" s="9">
        <f t="shared" si="1"/>
        <v>15296.6016</v>
      </c>
      <c r="AF10" s="9">
        <f t="shared" si="1"/>
        <v>14118.938</v>
      </c>
      <c r="AG10" s="9">
        <f t="shared" si="1"/>
        <v>21572.206512212149</v>
      </c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83" t="s">
        <v>54</v>
      </c>
      <c r="AU10" s="62" t="s">
        <v>94</v>
      </c>
      <c r="AV10" s="84" t="s">
        <v>95</v>
      </c>
      <c r="AW10" s="56"/>
    </row>
    <row r="11" spans="1:49" ht="18.5" x14ac:dyDescent="0.45">
      <c r="A11" s="7">
        <v>44317</v>
      </c>
      <c r="B11" s="3">
        <f>LN('Historical Data'!B12/'Historical Data'!B11)</f>
        <v>9.6197264707480842E-2</v>
      </c>
      <c r="C11" s="3">
        <f>LN('Historical Data'!C12/'Historical Data'!C11)</f>
        <v>6.5183660438693752E-2</v>
      </c>
      <c r="D11" s="3">
        <f>LN('Historical Data'!D12/'Historical Data'!D11)</f>
        <v>9.5029545407167397E-3</v>
      </c>
      <c r="E11" s="3">
        <f>LN('Historical Data'!E12/'Historical Data'!E11)</f>
        <v>3.5405322527577006E-2</v>
      </c>
      <c r="F11" s="3">
        <f>LN('Historical Data'!F12/'Historical Data'!F11)</f>
        <v>1.2429887866245834E-2</v>
      </c>
      <c r="G11" s="3">
        <f>LN('Historical Data'!G12/'Historical Data'!G11)</f>
        <v>5.6132021483949759E-2</v>
      </c>
      <c r="H11" s="3">
        <f>LN('Historical Data'!H12/'Historical Data'!H11)</f>
        <v>8.3875860560516741E-2</v>
      </c>
      <c r="I11" s="3">
        <f>LN('Historical Data'!I12/'Historical Data'!I11)</f>
        <v>0.20810268205799495</v>
      </c>
      <c r="J11" s="3">
        <f>LN('Historical Data'!J12/'Historical Data'!J11)</f>
        <v>-1.1496127323293701E-2</v>
      </c>
      <c r="K11" s="3">
        <f>LN('Historical Data'!K12/'Historical Data'!K11)</f>
        <v>8.3547923733690035E-2</v>
      </c>
      <c r="M11" s="66" t="s">
        <v>60</v>
      </c>
      <c r="N11" s="67" t="s">
        <v>61</v>
      </c>
      <c r="O11" s="67" t="s">
        <v>62</v>
      </c>
      <c r="Y11">
        <v>2023</v>
      </c>
      <c r="Z11" s="90">
        <v>-0.25409999999999999</v>
      </c>
      <c r="AA11" s="90">
        <v>-0.1913</v>
      </c>
      <c r="AB11" s="90">
        <v>-0.18140000000000001</v>
      </c>
      <c r="AC11" s="91">
        <v>-0.16337261307746215</v>
      </c>
      <c r="AD11" s="9">
        <f t="shared" si="2"/>
        <v>13791.07906364</v>
      </c>
      <c r="AE11" s="9">
        <f t="shared" si="1"/>
        <v>12370.36171392</v>
      </c>
      <c r="AF11" s="9">
        <f t="shared" si="1"/>
        <v>11557.7626468</v>
      </c>
      <c r="AG11" s="9">
        <f t="shared" si="1"/>
        <v>18047.898764465404</v>
      </c>
      <c r="AR11" s="56"/>
      <c r="AS11" s="56"/>
      <c r="AT11" s="83" t="s">
        <v>96</v>
      </c>
      <c r="AU11" s="94" t="s">
        <v>97</v>
      </c>
      <c r="AV11" s="84" t="s">
        <v>98</v>
      </c>
      <c r="AW11" s="56"/>
    </row>
    <row r="12" spans="1:49" x14ac:dyDescent="0.35">
      <c r="A12" s="7">
        <v>44348</v>
      </c>
      <c r="B12" s="3">
        <f>LN('Historical Data'!B13/'Historical Data'!B12)</f>
        <v>6.2958103352188044E-2</v>
      </c>
      <c r="C12" s="3">
        <f>LN('Historical Data'!C13/'Historical Data'!C12)</f>
        <v>-3.3269663677392113E-2</v>
      </c>
      <c r="D12" s="3">
        <f>LN('Historical Data'!D13/'Historical Data'!D12)</f>
        <v>2.5589715478485361E-2</v>
      </c>
      <c r="E12" s="3">
        <f>LN('Historical Data'!E13/'Historical Data'!E12)</f>
        <v>9.8492131939855204E-2</v>
      </c>
      <c r="F12" s="3">
        <f>LN('Historical Data'!F13/'Historical Data'!F12)</f>
        <v>5.5538042894363975E-2</v>
      </c>
      <c r="G12" s="3">
        <f>LN('Historical Data'!G13/'Historical Data'!G12)</f>
        <v>2.4404077199958792E-2</v>
      </c>
      <c r="H12" s="3">
        <f>LN('Historical Data'!H13/'Historical Data'!H12)</f>
        <v>5.0423954815644371E-2</v>
      </c>
      <c r="I12" s="3">
        <f>LN('Historical Data'!I13/'Historical Data'!I12)</f>
        <v>-2.5264868166827381E-2</v>
      </c>
      <c r="J12" s="3">
        <f>LN('Historical Data'!J13/'Historical Data'!J12)</f>
        <v>0.11286055020189936</v>
      </c>
      <c r="K12" s="3">
        <f>LN('Historical Data'!K13/'Historical Data'!K12)</f>
        <v>1.0973844711766484E-2</v>
      </c>
      <c r="M12" s="64" t="s">
        <v>63</v>
      </c>
      <c r="N12" s="65"/>
      <c r="O12" s="63"/>
      <c r="Y12">
        <v>2024</v>
      </c>
      <c r="Z12" s="89">
        <v>0.34620000000000001</v>
      </c>
      <c r="AA12" s="89">
        <v>0.26529999999999998</v>
      </c>
      <c r="AB12" s="89">
        <v>0.2379</v>
      </c>
      <c r="AC12" s="91">
        <v>0.70428571903525272</v>
      </c>
      <c r="AD12" s="9">
        <f t="shared" si="2"/>
        <v>18565.550635472169</v>
      </c>
      <c r="AE12" s="9">
        <f t="shared" si="1"/>
        <v>15652.218676622973</v>
      </c>
      <c r="AF12" s="9">
        <f t="shared" si="1"/>
        <v>14307.35438047372</v>
      </c>
      <c r="AG12" s="9">
        <f t="shared" si="1"/>
        <v>30758.776122872372</v>
      </c>
      <c r="AR12" s="56"/>
      <c r="AS12" s="56"/>
      <c r="AT12" s="83" t="s">
        <v>99</v>
      </c>
      <c r="AU12" s="62" t="s">
        <v>100</v>
      </c>
      <c r="AV12" s="84" t="s">
        <v>101</v>
      </c>
      <c r="AW12" s="56"/>
    </row>
    <row r="13" spans="1:49" x14ac:dyDescent="0.35">
      <c r="A13" s="7">
        <v>44378</v>
      </c>
      <c r="B13" s="3">
        <f>LN('Historical Data'!B14/'Historical Data'!B13)</f>
        <v>4.0114686269191041E-2</v>
      </c>
      <c r="C13" s="3">
        <f>LN('Historical Data'!C14/'Historical Data'!C13)</f>
        <v>4.2133915498725999E-2</v>
      </c>
      <c r="D13" s="3">
        <f>LN('Historical Data'!D14/'Historical Data'!D13)</f>
        <v>2.4039014105066245E-2</v>
      </c>
      <c r="E13" s="3">
        <f>LN('Historical Data'!E14/'Historical Data'!E13)</f>
        <v>7.1398580298323702E-2</v>
      </c>
      <c r="F13" s="3">
        <f>LN('Historical Data'!F14/'Historical Data'!F13)</f>
        <v>-0.10740089596052549</v>
      </c>
      <c r="G13" s="3">
        <f>LN('Historical Data'!G14/'Historical Data'!G13)</f>
        <v>6.2765306857205119E-2</v>
      </c>
      <c r="H13" s="3">
        <f>LN('Historical Data'!H14/'Historical Data'!H13)</f>
        <v>5.7856251778716387E-2</v>
      </c>
      <c r="I13" s="3">
        <f>LN('Historical Data'!I14/'Historical Data'!I13)</f>
        <v>0.13802790779042068</v>
      </c>
      <c r="J13" s="3">
        <f>LN('Historical Data'!J14/'Historical Data'!J13)</f>
        <v>2.6262040632314715E-2</v>
      </c>
      <c r="K13" s="3">
        <f>LN('Historical Data'!K14/'Historical Data'!K13)</f>
        <v>6.8224095374517624E-2</v>
      </c>
      <c r="M13" s="62" t="s">
        <v>3</v>
      </c>
      <c r="N13" s="62"/>
      <c r="O13" s="59">
        <v>0.47501974157141491</v>
      </c>
      <c r="Y13">
        <v>2025</v>
      </c>
      <c r="Z13" s="89">
        <v>0.33839999999999998</v>
      </c>
      <c r="AA13" s="89">
        <v>0.24510000000000001</v>
      </c>
      <c r="AB13" s="89">
        <v>0.1867</v>
      </c>
      <c r="AC13" s="91">
        <v>0.6525848381274264</v>
      </c>
      <c r="AD13" s="9">
        <f t="shared" si="2"/>
        <v>24848.132970515951</v>
      </c>
      <c r="AE13" s="9">
        <f t="shared" si="1"/>
        <v>19488.577474263264</v>
      </c>
      <c r="AF13" s="9">
        <f t="shared" si="1"/>
        <v>16978.537443308163</v>
      </c>
      <c r="AG13" s="9">
        <f t="shared" si="1"/>
        <v>50831.487060014784</v>
      </c>
      <c r="AR13" s="56"/>
      <c r="AS13" s="56"/>
      <c r="AT13" s="86" t="s">
        <v>102</v>
      </c>
      <c r="AU13" s="95">
        <v>0.25</v>
      </c>
      <c r="AV13" s="87" t="s">
        <v>103</v>
      </c>
      <c r="AW13" s="56"/>
    </row>
    <row r="14" spans="1:49" x14ac:dyDescent="0.35">
      <c r="A14" s="7">
        <v>44409</v>
      </c>
      <c r="B14" s="3">
        <f>LN('Historical Data'!B15/'Historical Data'!B14)</f>
        <v>-6.8965054179666044E-2</v>
      </c>
      <c r="C14" s="3">
        <f>LN('Historical Data'!C15/'Historical Data'!C14)</f>
        <v>-5.5003405330353652E-2</v>
      </c>
      <c r="D14" s="3">
        <f>LN('Historical Data'!D15/'Historical Data'!D14)</f>
        <v>-2.5007806701301198E-2</v>
      </c>
      <c r="E14" s="3">
        <f>LN('Historical Data'!E15/'Historical Data'!E14)</f>
        <v>-7.922638689409002E-2</v>
      </c>
      <c r="F14" s="3">
        <f>LN('Historical Data'!F15/'Historical Data'!F14)</f>
        <v>4.17908674946702E-3</v>
      </c>
      <c r="G14" s="3">
        <f>LN('Historical Data'!G15/'Historical Data'!G14)</f>
        <v>-0.1113882238630215</v>
      </c>
      <c r="H14" s="3">
        <f>LN('Historical Data'!H15/'Historical Data'!H14)</f>
        <v>-6.6493567831703501E-2</v>
      </c>
      <c r="I14" s="3">
        <f>LN('Historical Data'!I15/'Historical Data'!I14)</f>
        <v>-7.7308267391856145E-2</v>
      </c>
      <c r="J14" s="3">
        <f>LN('Historical Data'!J15/'Historical Data'!J14)</f>
        <v>-2.2694728325321111E-2</v>
      </c>
      <c r="K14" s="3">
        <f>LN('Historical Data'!K15/'Historical Data'!K14)</f>
        <v>5.2632451956010698E-2</v>
      </c>
      <c r="M14" s="62" t="s">
        <v>9</v>
      </c>
      <c r="N14" s="62"/>
      <c r="O14" s="59">
        <v>0.1980803499155466</v>
      </c>
      <c r="Y14">
        <v>2026</v>
      </c>
      <c r="Z14" s="89">
        <v>0.1628</v>
      </c>
      <c r="AA14" s="89">
        <v>0.17219999999999999</v>
      </c>
      <c r="AB14" s="89">
        <v>0.19520000000000001</v>
      </c>
      <c r="AC14" s="91">
        <v>0.72434597251223831</v>
      </c>
      <c r="AD14" s="9">
        <f t="shared" si="2"/>
        <v>28893.409018115948</v>
      </c>
      <c r="AE14" s="9">
        <f t="shared" si="1"/>
        <v>22844.510515331396</v>
      </c>
      <c r="AF14" s="9">
        <f t="shared" si="1"/>
        <v>20292.747952241916</v>
      </c>
      <c r="AG14" s="9">
        <f>AG13*(1+AC14)</f>
        <v>87651.06998874445</v>
      </c>
      <c r="AR14" s="56"/>
      <c r="AS14" s="56"/>
      <c r="AT14" s="56"/>
      <c r="AU14" s="56"/>
      <c r="AV14" s="56"/>
      <c r="AW14" s="56"/>
    </row>
    <row r="15" spans="1:49" x14ac:dyDescent="0.35">
      <c r="A15" s="7">
        <v>44440</v>
      </c>
      <c r="B15" s="3">
        <f>LN('Historical Data'!B16/'Historical Data'!B15)</f>
        <v>5.7001470138716995E-2</v>
      </c>
      <c r="C15" s="3">
        <f>LN('Historical Data'!C16/'Historical Data'!C15)</f>
        <v>2.6254724346159528E-2</v>
      </c>
      <c r="D15" s="3">
        <f>LN('Historical Data'!D16/'Historical Data'!D15)</f>
        <v>9.9320429971675547E-2</v>
      </c>
      <c r="E15" s="3">
        <f>LN('Historical Data'!E16/'Historical Data'!E15)</f>
        <v>0.10210432347288416</v>
      </c>
      <c r="F15" s="3">
        <f>LN('Historical Data'!F16/'Historical Data'!F15)</f>
        <v>-3.5601216467986328E-2</v>
      </c>
      <c r="G15" s="3">
        <f>LN('Historical Data'!G16/'Historical Data'!G15)</f>
        <v>-4.7734188256524895E-2</v>
      </c>
      <c r="H15" s="3">
        <f>LN('Historical Data'!H16/'Historical Data'!H15)</f>
        <v>0.16236607270455952</v>
      </c>
      <c r="I15" s="3">
        <f>LN('Historical Data'!I16/'Historical Data'!I15)</f>
        <v>0.21039577698307099</v>
      </c>
      <c r="J15" s="3">
        <f>LN('Historical Data'!J16/'Historical Data'!J15)</f>
        <v>9.6321806436104412E-2</v>
      </c>
      <c r="K15" s="3">
        <f>LN('Historical Data'!K16/'Historical Data'!K15)</f>
        <v>0.3622302672020109</v>
      </c>
      <c r="M15" s="62" t="s">
        <v>4</v>
      </c>
      <c r="N15" s="62"/>
      <c r="O15" s="59">
        <v>0.14450369445422295</v>
      </c>
      <c r="AR15" s="56"/>
      <c r="AS15" s="56"/>
      <c r="AT15" s="56"/>
      <c r="AU15" s="56"/>
      <c r="AV15" s="56"/>
      <c r="AW15" s="56"/>
    </row>
    <row r="16" spans="1:49" x14ac:dyDescent="0.35">
      <c r="A16" s="7">
        <v>44470</v>
      </c>
      <c r="B16" s="3">
        <f>LN('Historical Data'!B17/'Historical Data'!B16)</f>
        <v>9.8460955607378053E-2</v>
      </c>
      <c r="C16" s="3">
        <f>LN('Historical Data'!C17/'Historical Data'!C16)</f>
        <v>3.9147378269960106E-2</v>
      </c>
      <c r="D16" s="3">
        <f>LN('Historical Data'!D17/'Historical Data'!D16)</f>
        <v>4.0563924813395019E-2</v>
      </c>
      <c r="E16" s="3">
        <f>LN('Historical Data'!E17/'Historical Data'!E16)</f>
        <v>-4.2418188091024829E-2</v>
      </c>
      <c r="F16" s="3">
        <f>LN('Historical Data'!F17/'Historical Data'!F16)</f>
        <v>-6.2100155196028253E-2</v>
      </c>
      <c r="G16" s="3">
        <f>LN('Historical Data'!G17/'Historical Data'!G16)</f>
        <v>2.7463314136459156E-3</v>
      </c>
      <c r="H16" s="3">
        <f>LN('Historical Data'!H17/'Historical Data'!H16)</f>
        <v>-3.1106350284684043E-3</v>
      </c>
      <c r="I16" s="3">
        <f>LN('Historical Data'!I17/'Historical Data'!I16)</f>
        <v>0.2453387025273624</v>
      </c>
      <c r="J16" s="3">
        <f>LN('Historical Data'!J17/'Historical Data'!J16)</f>
        <v>-5.2251911469623366E-2</v>
      </c>
      <c r="K16" s="3">
        <f>LN('Historical Data'!K17/'Historical Data'!K16)</f>
        <v>2.7238043664758075E-2</v>
      </c>
      <c r="M16" s="62" t="s">
        <v>5</v>
      </c>
      <c r="N16" s="62"/>
      <c r="O16" s="59">
        <v>0.12041573537610309</v>
      </c>
      <c r="AR16" s="56"/>
      <c r="AS16" s="56"/>
      <c r="AT16" s="56"/>
      <c r="AU16" s="56"/>
      <c r="AV16" s="56"/>
      <c r="AW16" s="56"/>
    </row>
    <row r="17" spans="1:50" x14ac:dyDescent="0.35">
      <c r="A17" s="7">
        <v>44501</v>
      </c>
      <c r="B17" s="3">
        <f>LN('Historical Data'!B18/'Historical Data'!B17)</f>
        <v>7.3061758985275643E-2</v>
      </c>
      <c r="C17" s="3">
        <f>LN('Historical Data'!C18/'Historical Data'!C17)</f>
        <v>-5.0506172305566407E-2</v>
      </c>
      <c r="D17" s="3">
        <f>LN('Historical Data'!D18/'Historical Data'!D17)</f>
        <v>0.18381658583107474</v>
      </c>
      <c r="E17" s="3">
        <f>LN('Historical Data'!E18/'Historical Data'!E17)</f>
        <v>2.0607832249870051E-2</v>
      </c>
      <c r="F17" s="3">
        <f>LN('Historical Data'!F18/'Historical Data'!F17)</f>
        <v>0.13189484961998335</v>
      </c>
      <c r="G17" s="3">
        <f>LN('Historical Data'!G18/'Historical Data'!G17)</f>
        <v>3.5990175831318451E-2</v>
      </c>
      <c r="H17" s="3">
        <f>LN('Historical Data'!H18/'Historical Data'!H17)</f>
        <v>1.9012102531187427E-2</v>
      </c>
      <c r="I17" s="3">
        <f>LN('Historical Data'!I18/'Historical Data'!I17)</f>
        <v>-0.10527210264327075</v>
      </c>
      <c r="J17" s="3">
        <f>LN('Historical Data'!J18/'Historical Data'!J17)</f>
        <v>-3.9679423272616303E-2</v>
      </c>
      <c r="K17" s="3">
        <f>LN('Historical Data'!K18/'Historical Data'!K17)</f>
        <v>-7.9968546413117417E-2</v>
      </c>
      <c r="M17" s="62" t="s">
        <v>8</v>
      </c>
      <c r="N17" s="62"/>
      <c r="O17" s="59">
        <v>3.5991036632313865E-2</v>
      </c>
    </row>
    <row r="18" spans="1:50" x14ac:dyDescent="0.35">
      <c r="A18" s="7">
        <v>44531</v>
      </c>
      <c r="B18" s="3">
        <f>LN('Historical Data'!B19/'Historical Data'!B18)</f>
        <v>-1.5837294933547477E-2</v>
      </c>
      <c r="C18" s="3">
        <f>LN('Historical Data'!C19/'Historical Data'!C18)</f>
        <v>-0.10850985334928992</v>
      </c>
      <c r="D18" s="3">
        <f>LN('Historical Data'!D19/'Historical Data'!D18)</f>
        <v>-0.12091190082560552</v>
      </c>
      <c r="E18" s="3">
        <f>LN('Historical Data'!E19/'Historical Data'!E18)</f>
        <v>-6.8192164233039532E-2</v>
      </c>
      <c r="F18" s="3">
        <f>LN('Historical Data'!F19/'Historical Data'!F18)</f>
        <v>7.2608056606907986E-2</v>
      </c>
      <c r="G18" s="3">
        <f>LN('Historical Data'!G19/'Historical Data'!G18)</f>
        <v>-7.1118675641461016E-2</v>
      </c>
      <c r="H18" s="3">
        <f>LN('Historical Data'!H19/'Historical Data'!H18)</f>
        <v>-7.8334669673592025E-2</v>
      </c>
      <c r="I18" s="3">
        <f>LN('Historical Data'!I19/'Historical Data'!I18)</f>
        <v>-0.18314486686167322</v>
      </c>
      <c r="J18" s="3">
        <f>LN('Historical Data'!J19/'Historical Data'!J18)</f>
        <v>-7.189642922405666E-2</v>
      </c>
      <c r="K18" s="3">
        <f>LN('Historical Data'!K19/'Historical Data'!K18)</f>
        <v>-0.12059741643178999</v>
      </c>
      <c r="M18" s="62" t="s">
        <v>1</v>
      </c>
      <c r="N18" s="62"/>
      <c r="O18" s="59">
        <v>2.5989442050399002E-2</v>
      </c>
    </row>
    <row r="19" spans="1:50" x14ac:dyDescent="0.35">
      <c r="A19" s="7">
        <v>44562</v>
      </c>
      <c r="B19" s="3">
        <f>LN('Historical Data'!B20/'Historical Data'!B19)</f>
        <v>-5.6855613677537581E-2</v>
      </c>
      <c r="C19" s="3">
        <f>LN('Historical Data'!C20/'Historical Data'!C19)</f>
        <v>2.6322995467381691E-2</v>
      </c>
      <c r="D19" s="3">
        <f>LN('Historical Data'!D20/'Historical Data'!D19)</f>
        <v>2.6592592652367082E-3</v>
      </c>
      <c r="E19" s="3">
        <f>LN('Historical Data'!E20/'Historical Data'!E19)</f>
        <v>-1.8234057890591827E-3</v>
      </c>
      <c r="F19" s="3">
        <f>LN('Historical Data'!F20/'Historical Data'!F19)</f>
        <v>-6.7130806204904803E-2</v>
      </c>
      <c r="G19" s="3">
        <f>LN('Historical Data'!G20/'Historical Data'!G19)</f>
        <v>-0.39503344607035762</v>
      </c>
      <c r="H19" s="3">
        <f>LN('Historical Data'!H20/'Historical Data'!H19)</f>
        <v>-3.9987577775616144E-2</v>
      </c>
      <c r="I19" s="3">
        <f>LN('Historical Data'!I20/'Historical Data'!I19)</f>
        <v>-4.1333224621533703E-3</v>
      </c>
      <c r="J19" s="3">
        <f>LN('Historical Data'!J20/'Historical Data'!J19)</f>
        <v>-6.2376295699695876E-2</v>
      </c>
      <c r="K19" s="3">
        <f>LN('Historical Data'!K20/'Historical Data'!K19)</f>
        <v>-7.3397184006749369E-2</v>
      </c>
      <c r="M19" s="62" t="s">
        <v>2</v>
      </c>
      <c r="N19" s="62"/>
      <c r="O19" s="59">
        <v>0</v>
      </c>
    </row>
    <row r="20" spans="1:50" x14ac:dyDescent="0.35">
      <c r="A20" s="7">
        <v>44593</v>
      </c>
      <c r="B20" s="3">
        <f>LN('Historical Data'!B21/'Historical Data'!B20)</f>
        <v>5.7156114524264397E-2</v>
      </c>
      <c r="C20" s="3">
        <f>LN('Historical Data'!C21/'Historical Data'!C20)</f>
        <v>5.9623956986477045E-2</v>
      </c>
      <c r="D20" s="3">
        <f>LN('Historical Data'!D21/'Historical Data'!D20)</f>
        <v>6.9437527484066175E-2</v>
      </c>
      <c r="E20" s="3">
        <f>LN('Historical Data'!E21/'Historical Data'!E20)</f>
        <v>2.9262303250881722E-2</v>
      </c>
      <c r="F20" s="3">
        <f>LN('Historical Data'!F21/'Historical Data'!F20)</f>
        <v>-9.5796486753798316E-3</v>
      </c>
      <c r="G20" s="3">
        <f>LN('Historical Data'!G21/'Historical Data'!G20)</f>
        <v>5.2297476849600712E-2</v>
      </c>
      <c r="H20" s="3">
        <f>LN('Historical Data'!H21/'Historical Data'!H20)</f>
        <v>3.3430312534926232E-2</v>
      </c>
      <c r="I20" s="3">
        <f>LN('Historical Data'!I21/'Historical Data'!I20)</f>
        <v>0.11240546843510196</v>
      </c>
      <c r="J20" s="3">
        <f>LN('Historical Data'!J21/'Historical Data'!J20)</f>
        <v>8.5244004014917454E-2</v>
      </c>
      <c r="K20" s="3">
        <f>LN('Historical Data'!K21/'Historical Data'!K20)</f>
        <v>0.21350439756243444</v>
      </c>
      <c r="M20" s="62" t="s">
        <v>6</v>
      </c>
      <c r="N20" s="62"/>
      <c r="O20" s="59">
        <v>0</v>
      </c>
    </row>
    <row r="21" spans="1:50" x14ac:dyDescent="0.35">
      <c r="A21" s="7">
        <v>44621</v>
      </c>
      <c r="B21" s="3">
        <f>LN('Historical Data'!B22/'Historical Data'!B21)</f>
        <v>-0.10217803212979519</v>
      </c>
      <c r="C21" s="3">
        <f>LN('Historical Data'!C22/'Historical Data'!C21)</f>
        <v>-0.2711857092933817</v>
      </c>
      <c r="D21" s="3">
        <f>LN('Historical Data'!D22/'Historical Data'!D21)</f>
        <v>-0.12060405827973424</v>
      </c>
      <c r="E21" s="3">
        <f>LN('Historical Data'!E22/'Historical Data'!E21)</f>
        <v>-0.19780056081010342</v>
      </c>
      <c r="F21" s="3">
        <f>LN('Historical Data'!F22/'Historical Data'!F21)</f>
        <v>1.6649495676854788E-2</v>
      </c>
      <c r="G21" s="3">
        <f>LN('Historical Data'!G22/'Historical Data'!G21)</f>
        <v>-0.10363318113838879</v>
      </c>
      <c r="H21" s="3">
        <f>LN('Historical Data'!H22/'Historical Data'!H21)</f>
        <v>-0.10521257226363716</v>
      </c>
      <c r="I21" s="3">
        <f>LN('Historical Data'!I22/'Historical Data'!I21)</f>
        <v>-0.38589506101342907</v>
      </c>
      <c r="J21" s="3">
        <f>LN('Historical Data'!J22/'Historical Data'!J21)</f>
        <v>-0.11965823131331957</v>
      </c>
      <c r="K21" s="3">
        <f>LN('Historical Data'!K22/'Historical Data'!K21)</f>
        <v>-0.21312534640563197</v>
      </c>
      <c r="M21" s="62" t="s">
        <v>7</v>
      </c>
      <c r="N21" s="62"/>
      <c r="O21" s="59">
        <v>0</v>
      </c>
    </row>
    <row r="22" spans="1:50" x14ac:dyDescent="0.35">
      <c r="A22" s="7">
        <v>44652</v>
      </c>
      <c r="B22" s="3">
        <f>LN('Historical Data'!B23/'Historical Data'!B22)</f>
        <v>-5.7505126562053047E-2</v>
      </c>
      <c r="C22" s="3">
        <f>LN('Historical Data'!C23/'Historical Data'!C22)</f>
        <v>-3.3313100052673725E-2</v>
      </c>
      <c r="D22" s="3">
        <f>LN('Historical Data'!D23/'Historical Data'!D22)</f>
        <v>4.5384062012898657E-2</v>
      </c>
      <c r="E22" s="3">
        <f>LN('Historical Data'!E23/'Historical Data'!E22)</f>
        <v>-3.0497918789332262E-3</v>
      </c>
      <c r="F22" s="3">
        <f>LN('Historical Data'!F23/'Historical Data'!F22)</f>
        <v>-1.3892153854590099E-2</v>
      </c>
      <c r="G22" s="3">
        <f>LN('Historical Data'!G23/'Historical Data'!G22)</f>
        <v>-3.4663574879649335E-2</v>
      </c>
      <c r="H22" s="3">
        <f>LN('Historical Data'!H23/'Historical Data'!H22)</f>
        <v>-2.0568986921288678E-2</v>
      </c>
      <c r="I22" s="3">
        <f>LN('Historical Data'!I23/'Historical Data'!I22)</f>
        <v>6.7172094117784334E-3</v>
      </c>
      <c r="J22" s="3">
        <f>LN('Historical Data'!J23/'Historical Data'!J22)</f>
        <v>-1.6465328514610481E-2</v>
      </c>
      <c r="K22" s="3">
        <f>LN('Historical Data'!K23/'Historical Data'!K22)</f>
        <v>-0.13834007582724359</v>
      </c>
      <c r="M22" s="57" t="s">
        <v>10</v>
      </c>
      <c r="N22" s="57"/>
      <c r="O22" s="58">
        <v>0</v>
      </c>
    </row>
    <row r="23" spans="1:50" x14ac:dyDescent="0.35">
      <c r="A23" s="7">
        <v>44682</v>
      </c>
      <c r="B23" s="3">
        <f>LN('Historical Data'!B24/'Historical Data'!B23)</f>
        <v>-8.3468444785490536E-2</v>
      </c>
      <c r="C23" s="3">
        <f>LN('Historical Data'!C24/'Historical Data'!C23)</f>
        <v>-0.12381778758632632</v>
      </c>
      <c r="D23" s="3">
        <f>LN('Historical Data'!D24/'Historical Data'!D23)</f>
        <v>-0.17743479482594163</v>
      </c>
      <c r="E23" s="3">
        <f>LN('Historical Data'!E24/'Historical Data'!E23)</f>
        <v>-4.3100820499334058E-2</v>
      </c>
      <c r="F23" s="3">
        <f>LN('Historical Data'!F24/'Historical Data'!F23)</f>
        <v>-0.12607488295849675</v>
      </c>
      <c r="G23" s="3">
        <f>LN('Historical Data'!G24/'Historical Data'!G23)</f>
        <v>-0.18304510971973292</v>
      </c>
      <c r="H23" s="3">
        <f>LN('Historical Data'!H24/'Historical Data'!H23)</f>
        <v>-5.458339527536045E-2</v>
      </c>
      <c r="I23" s="3">
        <f>LN('Historical Data'!I24/'Historical Data'!I23)</f>
        <v>-0.20843118844391761</v>
      </c>
      <c r="J23" s="3">
        <f>LN('Historical Data'!J24/'Historical Data'!J23)</f>
        <v>-2.891788923359084E-2</v>
      </c>
      <c r="K23" s="3">
        <f>LN('Historical Data'!K24/'Historical Data'!K23)</f>
        <v>-0.11865714504339087</v>
      </c>
    </row>
    <row r="24" spans="1:50" x14ac:dyDescent="0.35">
      <c r="A24" s="7">
        <v>44713</v>
      </c>
      <c r="B24" s="3">
        <f>LN('Historical Data'!B25/'Historical Data'!B24)</f>
        <v>0.17280443117840452</v>
      </c>
      <c r="C24" s="3">
        <f>LN('Historical Data'!C25/'Historical Data'!C24)</f>
        <v>0.23948607313056541</v>
      </c>
      <c r="D24" s="3">
        <f>LN('Historical Data'!D25/'Historical Data'!D24)</f>
        <v>0.10560215586070665</v>
      </c>
      <c r="E24" s="3">
        <f>LN('Historical Data'!E25/'Historical Data'!E24)</f>
        <v>6.5336601353735507E-2</v>
      </c>
      <c r="F24" s="3">
        <f>LN('Historical Data'!F25/'Historical Data'!F24)</f>
        <v>0.11460866362309634</v>
      </c>
      <c r="G24" s="3">
        <f>LN('Historical Data'!G25/'Historical Data'!G24)</f>
        <v>-1.3422851689388463E-2</v>
      </c>
      <c r="H24" s="3">
        <f>LN('Historical Data'!H25/'Historical Data'!H24)</f>
        <v>8.9014844876514523E-2</v>
      </c>
      <c r="I24" s="3">
        <f>LN('Historical Data'!I25/'Historical Data'!I24)</f>
        <v>0.18100392958390127</v>
      </c>
      <c r="J24" s="3">
        <f>LN('Historical Data'!J25/'Historical Data'!J24)</f>
        <v>0.10801874932826568</v>
      </c>
      <c r="K24" s="3">
        <f>LN('Historical Data'!K25/'Historical Data'!K24)</f>
        <v>0.28048029266089147</v>
      </c>
    </row>
    <row r="25" spans="1:50" x14ac:dyDescent="0.35">
      <c r="A25" s="7">
        <v>44743</v>
      </c>
      <c r="B25" s="3">
        <f>LN('Historical Data'!B26/'Historical Data'!B25)</f>
        <v>-3.3093631986848525E-2</v>
      </c>
      <c r="C25" s="3">
        <f>LN('Historical Data'!C26/'Historical Data'!C25)</f>
        <v>-6.2529918513378344E-2</v>
      </c>
      <c r="D25" s="3">
        <f>LN('Historical Data'!D26/'Historical Data'!D25)</f>
        <v>-7.0336943095026139E-2</v>
      </c>
      <c r="E25" s="3">
        <f>LN('Historical Data'!E26/'Historical Data'!E25)</f>
        <v>-7.2178687191277305E-2</v>
      </c>
      <c r="F25" s="3">
        <f>LN('Historical Data'!F26/'Historical Data'!F25)</f>
        <v>-8.5287674235194649E-2</v>
      </c>
      <c r="G25" s="3">
        <f>LN('Historical Data'!G26/'Historical Data'!G25)</f>
        <v>2.3787517090643244E-2</v>
      </c>
      <c r="H25" s="3">
        <f>LN('Historical Data'!H26/'Historical Data'!H25)</f>
        <v>-7.1109623344982928E-2</v>
      </c>
      <c r="I25" s="3">
        <f>LN('Historical Data'!I26/'Historical Data'!I25)</f>
        <v>-0.18508941651238625</v>
      </c>
      <c r="J25" s="3">
        <f>LN('Historical Data'!J26/'Historical Data'!J25)</f>
        <v>-4.4102667888266611E-2</v>
      </c>
      <c r="K25" s="3">
        <f>LN('Historical Data'!K26/'Historical Data'!K25)</f>
        <v>-7.5250238861184759E-2</v>
      </c>
    </row>
    <row r="26" spans="1:50" x14ac:dyDescent="0.35">
      <c r="A26" s="7">
        <v>44774</v>
      </c>
      <c r="B26" s="3">
        <f>LN('Historical Data'!B27/'Historical Data'!B26)</f>
        <v>-0.1275558516814467</v>
      </c>
      <c r="C26" s="3">
        <f>LN('Historical Data'!C27/'Historical Data'!C26)</f>
        <v>-0.11498660223829471</v>
      </c>
      <c r="D26" s="3">
        <f>LN('Historical Data'!D27/'Historical Data'!D26)</f>
        <v>-0.11697926586710171</v>
      </c>
      <c r="E26" s="3">
        <f>LN('Historical Data'!E27/'Historical Data'!E26)</f>
        <v>-0.12347042987136843</v>
      </c>
      <c r="F26" s="3">
        <f>LN('Historical Data'!F27/'Historical Data'!F26)</f>
        <v>-0.13171390676681982</v>
      </c>
      <c r="G26" s="3">
        <f>LN('Historical Data'!G27/'Historical Data'!G26)</f>
        <v>-0.18302123219561156</v>
      </c>
      <c r="H26" s="3">
        <f>LN('Historical Data'!H27/'Historical Data'!H26)</f>
        <v>-0.11358977363667903</v>
      </c>
      <c r="I26" s="3">
        <f>LN('Historical Data'!I27/'Historical Data'!I26)</f>
        <v>-0.21787411148798203</v>
      </c>
      <c r="J26" s="3">
        <f>LN('Historical Data'!J27/'Historical Data'!J26)</f>
        <v>-0.19406934761028147</v>
      </c>
      <c r="K26" s="3">
        <f>LN('Historical Data'!K27/'Historical Data'!K26)</f>
        <v>-3.8314045457392337E-2</v>
      </c>
      <c r="AX26" s="56"/>
    </row>
    <row r="27" spans="1:50" x14ac:dyDescent="0.35">
      <c r="A27" s="7">
        <v>44805</v>
      </c>
      <c r="B27" s="3">
        <f>LN('Historical Data'!B28/'Historical Data'!B27)</f>
        <v>0.10395492240185637</v>
      </c>
      <c r="C27" s="3">
        <f>LN('Historical Data'!C28/'Historical Data'!C27)</f>
        <v>-9.811055738101615E-2</v>
      </c>
      <c r="D27" s="3">
        <f>LN('Historical Data'!D28/'Historical Data'!D27)</f>
        <v>6.5490892291273209E-2</v>
      </c>
      <c r="E27" s="3">
        <f>LN('Historical Data'!E28/'Historical Data'!E27)</f>
        <v>-1.198992809953024E-2</v>
      </c>
      <c r="F27" s="3">
        <f>LN('Historical Data'!F28/'Historical Data'!F27)</f>
        <v>0.14339138286779468</v>
      </c>
      <c r="G27" s="3">
        <f>LN('Historical Data'!G28/'Historical Data'!G27)</f>
        <v>-0.37598068900955778</v>
      </c>
      <c r="H27" s="3">
        <f>LN('Historical Data'!H28/'Historical Data'!H27)</f>
        <v>-3.3120129644825707E-3</v>
      </c>
      <c r="I27" s="3">
        <f>LN('Historical Data'!I28/'Historical Data'!I27)</f>
        <v>0.1063409907596171</v>
      </c>
      <c r="J27" s="3">
        <f>LN('Historical Data'!J28/'Historical Data'!J27)</f>
        <v>0.24558507176347361</v>
      </c>
      <c r="K27" s="3">
        <f>LN('Historical Data'!K28/'Historical Data'!K27)</f>
        <v>-0.15334673038252214</v>
      </c>
      <c r="AX27" s="56"/>
    </row>
    <row r="28" spans="1:50" x14ac:dyDescent="0.35">
      <c r="A28" s="7">
        <v>44835</v>
      </c>
      <c r="B28" s="3">
        <f>LN('Historical Data'!B29/'Historical Data'!B28)</f>
        <v>-3.5242178309030113E-2</v>
      </c>
      <c r="C28" s="3">
        <f>LN('Historical Data'!C29/'Historical Data'!C28)</f>
        <v>-5.93198310989776E-2</v>
      </c>
      <c r="D28" s="3">
        <f>LN('Historical Data'!D29/'Historical Data'!D28)</f>
        <v>0.15880119806873177</v>
      </c>
      <c r="E28" s="3">
        <f>LN('Historical Data'!E29/'Historical Data'!E28)</f>
        <v>6.6315418215635913E-2</v>
      </c>
      <c r="F28" s="3">
        <f>LN('Historical Data'!F29/'Historical Data'!F28)</f>
        <v>8.410370277991315E-2</v>
      </c>
      <c r="G28" s="3">
        <f>LN('Historical Data'!G29/'Historical Data'!G28)</f>
        <v>0.23721314485123565</v>
      </c>
      <c r="H28" s="3">
        <f>LN('Historical Data'!H29/'Historical Data'!H28)</f>
        <v>9.4514905409019939E-2</v>
      </c>
      <c r="I28" s="3">
        <f>LN('Historical Data'!I29/'Historical Data'!I28)</f>
        <v>0.22620632995601059</v>
      </c>
      <c r="J28" s="3">
        <f>LN('Historical Data'!J29/'Historical Data'!J28)</f>
        <v>6.672347267525193E-2</v>
      </c>
      <c r="K28" s="3">
        <f>LN('Historical Data'!K29/'Historical Data'!K28)</f>
        <v>-0.15586613473341651</v>
      </c>
      <c r="AX28" s="56"/>
    </row>
    <row r="29" spans="1:50" x14ac:dyDescent="0.35">
      <c r="A29" s="7">
        <v>44866</v>
      </c>
      <c r="B29" s="3">
        <f>LN('Historical Data'!B30/'Historical Data'!B29)</f>
        <v>-0.12876210972506572</v>
      </c>
      <c r="C29" s="3">
        <f>LN('Historical Data'!C30/'Historical Data'!C29)</f>
        <v>-0.13914063138903329</v>
      </c>
      <c r="D29" s="3">
        <f>LN('Historical Data'!D30/'Historical Data'!D29)</f>
        <v>1.4592705926184399E-2</v>
      </c>
      <c r="E29" s="3">
        <f>LN('Historical Data'!E30/'Historical Data'!E29)</f>
        <v>-0.13507409946561835</v>
      </c>
      <c r="F29" s="3">
        <f>LN('Historical Data'!F30/'Historical Data'!F29)</f>
        <v>-2.4627335741839319E-2</v>
      </c>
      <c r="G29" s="3">
        <f>LN('Historical Data'!G30/'Historical Data'!G29)</f>
        <v>1.878955147272178E-2</v>
      </c>
      <c r="H29" s="3">
        <f>LN('Historical Data'!H30/'Historical Data'!H29)</f>
        <v>-5.910958449814499E-2</v>
      </c>
      <c r="I29" s="3">
        <f>LN('Historical Data'!I30/'Historical Data'!I29)</f>
        <v>-0.14643755360960392</v>
      </c>
      <c r="J29" s="3">
        <f>LN('Historical Data'!J30/'Historical Data'!J29)</f>
        <v>-1.5658492124200833E-2</v>
      </c>
      <c r="K29" s="3">
        <f>LN('Historical Data'!K30/'Historical Data'!K29)</f>
        <v>-0.45781321211925669</v>
      </c>
      <c r="AX29" s="56"/>
    </row>
    <row r="30" spans="1:50" x14ac:dyDescent="0.35">
      <c r="A30" s="7">
        <v>44896</v>
      </c>
      <c r="B30" s="3">
        <f>LN('Historical Data'!B31/'Historical Data'!B30)</f>
        <v>0.1048294004991016</v>
      </c>
      <c r="C30" s="3">
        <f>LN('Historical Data'!C31/'Historical Data'!C30)</f>
        <v>0.20517352948466397</v>
      </c>
      <c r="D30" s="3">
        <f>LN('Historical Data'!D31/'Historical Data'!D30)</f>
        <v>5.3556273671406994E-2</v>
      </c>
      <c r="E30" s="3">
        <f>LN('Historical Data'!E31/'Historical Data'!E30)</f>
        <v>0.11355520374608775</v>
      </c>
      <c r="F30" s="3">
        <f>LN('Historical Data'!F31/'Historical Data'!F30)</f>
        <v>6.3696822543363896E-2</v>
      </c>
      <c r="G30" s="3">
        <f>LN('Historical Data'!G31/'Historical Data'!G30)</f>
        <v>0.21342326907138692</v>
      </c>
      <c r="H30" s="3">
        <f>LN('Historical Data'!H31/'Historical Data'!H30)</f>
        <v>3.2773546457340319E-2</v>
      </c>
      <c r="I30" s="3">
        <f>LN('Historical Data'!I31/'Historical Data'!I30)</f>
        <v>0.29033006818835605</v>
      </c>
      <c r="J30" s="3">
        <f>LN('Historical Data'!J31/'Historical Data'!J30)</f>
        <v>7.9006922596324664E-2</v>
      </c>
      <c r="K30" s="3">
        <f>LN('Historical Data'!K31/'Historical Data'!K30)</f>
        <v>0.34091576264400142</v>
      </c>
      <c r="AX30" s="56"/>
    </row>
    <row r="31" spans="1:50" x14ac:dyDescent="0.35">
      <c r="A31" s="7">
        <v>44927</v>
      </c>
      <c r="B31" s="3">
        <f>LN('Historical Data'!B32/'Historical Data'!B31)</f>
        <v>2.1393283574072736E-2</v>
      </c>
      <c r="C31" s="3">
        <f>LN('Historical Data'!C32/'Historical Data'!C31)</f>
        <v>-9.0251726109312633E-2</v>
      </c>
      <c r="D31" s="3">
        <f>LN('Historical Data'!D32/'Historical Data'!D31)</f>
        <v>1.5738470108691234E-2</v>
      </c>
      <c r="E31" s="3">
        <f>LN('Historical Data'!E32/'Historical Data'!E31)</f>
        <v>-9.3026072209416985E-2</v>
      </c>
      <c r="F31" s="3">
        <f>LN('Historical Data'!F32/'Historical Data'!F31)</f>
        <v>-4.0567226968867422E-2</v>
      </c>
      <c r="G31" s="3">
        <f>LN('Historical Data'!G32/'Historical Data'!G31)</f>
        <v>0.16069828019144647</v>
      </c>
      <c r="H31" s="3">
        <f>LN('Historical Data'!H32/'Historical Data'!H31)</f>
        <v>6.4761117897062688E-3</v>
      </c>
      <c r="I31" s="3">
        <f>LN('Historical Data'!I32/'Historical Data'!I31)</f>
        <v>0.17253134711290119</v>
      </c>
      <c r="J31" s="3">
        <f>LN('Historical Data'!J32/'Historical Data'!J31)</f>
        <v>-8.3125520289116569E-3</v>
      </c>
      <c r="K31" s="3">
        <f>LN('Historical Data'!K32/'Historical Data'!K31)</f>
        <v>0.17190494706148407</v>
      </c>
      <c r="AX31" s="56"/>
    </row>
    <row r="32" spans="1:50" x14ac:dyDescent="0.35">
      <c r="A32" s="7">
        <v>44958</v>
      </c>
      <c r="B32" s="3">
        <f>LN('Historical Data'!B33/'Historical Data'!B32)</f>
        <v>0.11364681026400918</v>
      </c>
      <c r="C32" s="3">
        <f>LN('Historical Data'!C33/'Historical Data'!C32)</f>
        <v>9.1801963799877331E-2</v>
      </c>
      <c r="D32" s="3">
        <f>LN('Historical Data'!D33/'Historical Data'!D32)</f>
        <v>7.6504017123988563E-2</v>
      </c>
      <c r="E32" s="3">
        <f>LN('Historical Data'!E33/'Historical Data'!E32)</f>
        <v>0.14131550998274967</v>
      </c>
      <c r="F32" s="3">
        <f>LN('Historical Data'!F33/'Historical Data'!F32)</f>
        <v>2.2597182931267858E-2</v>
      </c>
      <c r="G32" s="3">
        <f>LN('Historical Data'!G33/'Historical Data'!G32)</f>
        <v>0.19186019580152111</v>
      </c>
      <c r="H32" s="3">
        <f>LN('Historical Data'!H33/'Historical Data'!H32)</f>
        <v>0.14736474026643281</v>
      </c>
      <c r="I32" s="3">
        <f>LN('Historical Data'!I33/'Historical Data'!I32)</f>
        <v>0.17936694500337019</v>
      </c>
      <c r="J32" s="3">
        <f>LN('Historical Data'!J33/'Historical Data'!J32)</f>
        <v>6.1243763453708251E-2</v>
      </c>
      <c r="K32" s="3">
        <f>LN('Historical Data'!K33/'Historical Data'!K32)</f>
        <v>8.4711400392992759E-3</v>
      </c>
      <c r="AX32" s="56"/>
    </row>
    <row r="33" spans="1:50" x14ac:dyDescent="0.35">
      <c r="A33" s="7">
        <v>44986</v>
      </c>
      <c r="B33" s="3">
        <f>LN('Historical Data'!B34/'Historical Data'!B33)</f>
        <v>2.8574955117446083E-2</v>
      </c>
      <c r="C33" s="3">
        <f>LN('Historical Data'!C34/'Historical Data'!C33)</f>
        <v>2.0696340906241388E-2</v>
      </c>
      <c r="D33" s="3">
        <f>LN('Historical Data'!D34/'Historical Data'!D33)</f>
        <v>-1.6550935615806853E-2</v>
      </c>
      <c r="E33" s="3">
        <f>LN('Historical Data'!E34/'Historical Data'!E33)</f>
        <v>3.4209310116949311E-2</v>
      </c>
      <c r="F33" s="3">
        <f>LN('Historical Data'!F34/'Historical Data'!F33)</f>
        <v>4.4718852210020713E-2</v>
      </c>
      <c r="G33" s="3">
        <f>LN('Historical Data'!G34/'Historical Data'!G33)</f>
        <v>0.12566853006121023</v>
      </c>
      <c r="H33" s="3">
        <f>LN('Historical Data'!H34/'Historical Data'!H33)</f>
        <v>6.3693048082205259E-2</v>
      </c>
      <c r="I33" s="3">
        <f>LN('Historical Data'!I34/'Historical Data'!I33)</f>
        <v>-8.3888705846998154E-4</v>
      </c>
      <c r="J33" s="3">
        <f>LN('Historical Data'!J34/'Historical Data'!J33)</f>
        <v>1.918619566135344E-2</v>
      </c>
      <c r="K33" s="3">
        <f>LN('Historical Data'!K34/'Historical Data'!K33)</f>
        <v>-0.23318366253994235</v>
      </c>
      <c r="AX33" s="56"/>
    </row>
    <row r="34" spans="1:50" x14ac:dyDescent="0.35">
      <c r="A34" s="7">
        <v>45017</v>
      </c>
      <c r="B34" s="3">
        <f>LN('Historical Data'!B35/'Historical Data'!B34)</f>
        <v>4.3646740654785743E-2</v>
      </c>
      <c r="C34" s="3">
        <f>LN('Historical Data'!C35/'Historical Data'!C34)</f>
        <v>0.13407652613647589</v>
      </c>
      <c r="D34" s="3">
        <f>LN('Historical Data'!D35/'Historical Data'!D34)</f>
        <v>0.25436365139247047</v>
      </c>
      <c r="E34" s="3">
        <f>LN('Historical Data'!E35/'Historical Data'!E34)</f>
        <v>0.13512620371174827</v>
      </c>
      <c r="F34" s="3">
        <f>LN('Historical Data'!F35/'Historical Data'!F34)</f>
        <v>-3.8730776145965803E-2</v>
      </c>
      <c r="G34" s="3">
        <f>LN('Historical Data'!G35/'Historical Data'!G34)</f>
        <v>9.6701274793306563E-2</v>
      </c>
      <c r="H34" s="3">
        <f>LN('Historical Data'!H35/'Historical Data'!H34)</f>
        <v>6.6507591530747201E-2</v>
      </c>
      <c r="I34" s="3">
        <f>LN('Historical Data'!I35/'Historical Data'!I34)</f>
        <v>0.3100084685063052</v>
      </c>
      <c r="J34" s="3">
        <f>LN('Historical Data'!J35/'Historical Data'!J34)</f>
        <v>0.11612684476047516</v>
      </c>
      <c r="K34" s="3">
        <f>LN('Historical Data'!K35/'Historical Data'!K34)</f>
        <v>0.21602191024051604</v>
      </c>
      <c r="AX34" s="56"/>
    </row>
    <row r="35" spans="1:50" x14ac:dyDescent="0.35">
      <c r="A35" s="7">
        <v>45047</v>
      </c>
      <c r="B35" s="3">
        <f>LN('Historical Data'!B36/'Historical Data'!B35)</f>
        <v>9.1525026546210059E-2</v>
      </c>
      <c r="C35" s="3">
        <f>LN('Historical Data'!C36/'Historical Data'!C35)</f>
        <v>7.7986420908101345E-2</v>
      </c>
      <c r="D35" s="3">
        <f>LN('Historical Data'!D36/'Historical Data'!D35)</f>
        <v>7.1022334495610254E-2</v>
      </c>
      <c r="E35" s="3">
        <f>LN('Historical Data'!E36/'Historical Data'!E35)</f>
        <v>-2.6138382374356787E-2</v>
      </c>
      <c r="F35" s="3">
        <f>LN('Historical Data'!F36/'Historical Data'!F35)</f>
        <v>7.4620678435673451E-2</v>
      </c>
      <c r="G35" s="3">
        <f>LN('Historical Data'!G36/'Historical Data'!G35)</f>
        <v>8.0739806170775252E-2</v>
      </c>
      <c r="H35" s="3">
        <f>LN('Historical Data'!H36/'Historical Data'!H35)</f>
        <v>3.8514280197809961E-2</v>
      </c>
      <c r="I35" s="3">
        <f>LN('Historical Data'!I36/'Historical Data'!I35)</f>
        <v>0.11162599260197191</v>
      </c>
      <c r="J35" s="3">
        <f>LN('Historical Data'!J36/'Historical Data'!J35)</f>
        <v>0.11700596412027556</v>
      </c>
      <c r="K35" s="3">
        <f>LN('Historical Data'!K36/'Historical Data'!K35)</f>
        <v>0.24968945791439814</v>
      </c>
      <c r="AX35" s="56"/>
    </row>
    <row r="36" spans="1:50" x14ac:dyDescent="0.35">
      <c r="A36" s="7">
        <v>45078</v>
      </c>
      <c r="B36" s="3">
        <f>LN('Historical Data'!B37/'Historical Data'!B36)</f>
        <v>1.2704269890204151E-2</v>
      </c>
      <c r="C36" s="3">
        <f>LN('Historical Data'!C37/'Historical Data'!C36)</f>
        <v>2.5149030317777449E-2</v>
      </c>
      <c r="D36" s="3">
        <f>LN('Historical Data'!D37/'Historical Data'!D36)</f>
        <v>4.0672273970770653E-2</v>
      </c>
      <c r="E36" s="3">
        <f>LN('Historical Data'!E37/'Historical Data'!E36)</f>
        <v>0.10325289755759523</v>
      </c>
      <c r="F36" s="3">
        <f>LN('Historical Data'!F37/'Historical Data'!F36)</f>
        <v>2.4886420305757144E-3</v>
      </c>
      <c r="G36" s="3">
        <f>LN('Historical Data'!G37/'Historical Data'!G36)</f>
        <v>0.10452397421839443</v>
      </c>
      <c r="H36" s="3">
        <f>LN('Historical Data'!H37/'Historical Data'!H36)</f>
        <v>-1.3659572284661716E-2</v>
      </c>
      <c r="I36" s="3">
        <f>LN('Historical Data'!I37/'Historical Data'!I36)</f>
        <v>9.9634252317349001E-2</v>
      </c>
      <c r="J36" s="3">
        <f>LN('Historical Data'!J37/'Historical Data'!J36)</f>
        <v>-1.5741179533297088E-2</v>
      </c>
      <c r="K36" s="3">
        <f>LN('Historical Data'!K37/'Historical Data'!K36)</f>
        <v>2.139159422964413E-2</v>
      </c>
      <c r="AX36" s="56"/>
    </row>
    <row r="37" spans="1:50" x14ac:dyDescent="0.35">
      <c r="A37" s="7">
        <v>45108</v>
      </c>
      <c r="B37" s="3">
        <f>LN('Historical Data'!B38/'Historical Data'!B37)</f>
        <v>-4.465762314938438E-2</v>
      </c>
      <c r="C37" s="3">
        <f>LN('Historical Data'!C38/'Historical Data'!C37)</f>
        <v>3.1877262012810242E-2</v>
      </c>
      <c r="D37" s="3">
        <f>LN('Historical Data'!D38/'Historical Data'!D37)</f>
        <v>2.6616364073018595E-2</v>
      </c>
      <c r="E37" s="3">
        <f>LN('Historical Data'!E38/'Historical Data'!E37)</f>
        <v>2.5662693421771608E-2</v>
      </c>
      <c r="F37" s="3">
        <f>LN('Historical Data'!F38/'Historical Data'!F37)</f>
        <v>4.695934602444031E-2</v>
      </c>
      <c r="G37" s="3">
        <f>LN('Historical Data'!G38/'Historical Data'!G37)</f>
        <v>-7.3948768964133396E-2</v>
      </c>
      <c r="H37" s="3">
        <f>LN('Historical Data'!H38/'Historical Data'!H37)</f>
        <v>-2.4591492348636026E-2</v>
      </c>
      <c r="I37" s="3">
        <f>LN('Historical Data'!I38/'Historical Data'!I37)</f>
        <v>5.4674179307856619E-2</v>
      </c>
      <c r="J37" s="3">
        <f>LN('Historical Data'!J38/'Historical Data'!J37)</f>
        <v>3.0102138591932014E-2</v>
      </c>
      <c r="K37" s="3">
        <f>LN('Historical Data'!K38/'Historical Data'!K37)</f>
        <v>-3.5588235471399533E-2</v>
      </c>
    </row>
    <row r="38" spans="1:50" x14ac:dyDescent="0.35">
      <c r="A38" s="7">
        <v>45139</v>
      </c>
      <c r="B38" s="3">
        <f>LN('Historical Data'!B39/'Historical Data'!B38)</f>
        <v>-9.1509863423703222E-2</v>
      </c>
      <c r="C38" s="3">
        <f>LN('Historical Data'!C39/'Historical Data'!C38)</f>
        <v>-8.2194624071487962E-2</v>
      </c>
      <c r="D38" s="3">
        <f>LN('Historical Data'!D39/'Historical Data'!D38)</f>
        <v>-0.10538582429865745</v>
      </c>
      <c r="E38" s="3">
        <f>LN('Historical Data'!E39/'Historical Data'!E38)</f>
        <v>-3.977660188458601E-2</v>
      </c>
      <c r="F38" s="3">
        <f>LN('Historical Data'!F39/'Historical Data'!F38)</f>
        <v>-4.1388584008433191E-2</v>
      </c>
      <c r="G38" s="3">
        <f>LN('Historical Data'!G39/'Historical Data'!G38)</f>
        <v>1.4494695303634371E-2</v>
      </c>
      <c r="H38" s="3">
        <f>LN('Historical Data'!H39/'Historical Data'!H38)</f>
        <v>-3.5215879626693258E-2</v>
      </c>
      <c r="I38" s="3">
        <f>LN('Historical Data'!I39/'Historical Data'!I38)</f>
        <v>-0.12630114911429197</v>
      </c>
      <c r="J38" s="3">
        <f>LN('Historical Data'!J39/'Historical Data'!J38)</f>
        <v>-0.12805238791942097</v>
      </c>
      <c r="K38" s="3">
        <f>LN('Historical Data'!K39/'Historical Data'!K38)</f>
        <v>-3.0929083487644692E-2</v>
      </c>
    </row>
    <row r="39" spans="1:50" x14ac:dyDescent="0.35">
      <c r="A39" s="7">
        <v>45170</v>
      </c>
      <c r="B39" s="3">
        <f>LN('Historical Data'!B40/'Historical Data'!B39)</f>
        <v>-2.5730615333689304E-3</v>
      </c>
      <c r="C39" s="3">
        <f>LN('Historical Data'!C40/'Historical Data'!C39)</f>
        <v>4.5894068870004315E-2</v>
      </c>
      <c r="D39" s="3">
        <f>LN('Historical Data'!D40/'Historical Data'!D39)</f>
        <v>1.8338872400862891E-2</v>
      </c>
      <c r="E39" s="3">
        <f>LN('Historical Data'!E40/'Historical Data'!E39)</f>
        <v>-5.3201071807852718E-2</v>
      </c>
      <c r="F39" s="3">
        <f>LN('Historical Data'!F40/'Historical Data'!F39)</f>
        <v>-5.0667569234192182E-2</v>
      </c>
      <c r="G39" s="3">
        <f>LN('Historical Data'!G40/'Historical Data'!G39)</f>
        <v>3.5242899079188043E-3</v>
      </c>
      <c r="H39" s="3">
        <f>LN('Historical Data'!H40/'Historical Data'!H39)</f>
        <v>6.8420410730397105E-2</v>
      </c>
      <c r="I39" s="3">
        <f>LN('Historical Data'!I40/'Historical Data'!I39)</f>
        <v>-6.4463866729323985E-2</v>
      </c>
      <c r="J39" s="3">
        <f>LN('Historical Data'!J40/'Historical Data'!J39)</f>
        <v>-2.407961914415124E-2</v>
      </c>
      <c r="K39" s="3">
        <f>LN('Historical Data'!K40/'Historical Data'!K39)</f>
        <v>-0.21983195972274922</v>
      </c>
    </row>
    <row r="40" spans="1:50" x14ac:dyDescent="0.35">
      <c r="A40" s="7">
        <v>45200</v>
      </c>
      <c r="B40" s="3">
        <f>LN('Historical Data'!B41/'Historical Data'!B40)</f>
        <v>0.10644292946628002</v>
      </c>
      <c r="C40" s="3">
        <f>LN('Historical Data'!C41/'Historical Data'!C40)</f>
        <v>9.3197279045957968E-2</v>
      </c>
      <c r="D40" s="3">
        <f>LN('Historical Data'!D41/'Historical Data'!D40)</f>
        <v>9.555118513669858E-2</v>
      </c>
      <c r="E40" s="3">
        <f>LN('Historical Data'!E41/'Historical Data'!E40)</f>
        <v>6.5882358232858734E-2</v>
      </c>
      <c r="F40" s="3">
        <f>LN('Historical Data'!F41/'Historical Data'!F40)</f>
        <v>9.6384505247690822E-2</v>
      </c>
      <c r="G40" s="3">
        <f>LN('Historical Data'!G41/'Historical Data'!G40)</f>
        <v>8.2412118939687987E-2</v>
      </c>
      <c r="H40" s="3">
        <f>LN('Historical Data'!H41/'Historical Data'!H40)</f>
        <v>0.11392750699485865</v>
      </c>
      <c r="I40" s="3">
        <f>LN('Historical Data'!I41/'Historical Data'!I40)</f>
        <v>0.13705016797976891</v>
      </c>
      <c r="J40" s="3">
        <f>LN('Historical Data'!J41/'Historical Data'!J40)</f>
        <v>0.12044678645848823</v>
      </c>
      <c r="K40" s="3">
        <f>LN('Historical Data'!K41/'Historical Data'!K40)</f>
        <v>0.17846362996560694</v>
      </c>
    </row>
    <row r="41" spans="1:50" x14ac:dyDescent="0.35">
      <c r="A41" s="7">
        <v>45231</v>
      </c>
      <c r="B41" s="3">
        <f>LN('Historical Data'!B42/'Historical Data'!B41)</f>
        <v>1.4807885558457926E-2</v>
      </c>
      <c r="C41" s="3">
        <f>LN('Historical Data'!C42/'Historical Data'!C41)</f>
        <v>3.9262835930652829E-2</v>
      </c>
      <c r="D41" s="3">
        <f>LN('Historical Data'!D42/'Historical Data'!D41)</f>
        <v>0.18714758378342786</v>
      </c>
      <c r="E41" s="3">
        <f>LN('Historical Data'!E42/'Historical Data'!E41)</f>
        <v>5.2616966541287453E-2</v>
      </c>
      <c r="F41" s="3">
        <f>LN('Historical Data'!F42/'Historical Data'!F41)</f>
        <v>3.0180422259170208E-2</v>
      </c>
      <c r="G41" s="3">
        <f>LN('Historical Data'!G42/'Historical Data'!G41)</f>
        <v>7.876502002976328E-2</v>
      </c>
      <c r="H41" s="3">
        <f>LN('Historical Data'!H42/'Historical Data'!H41)</f>
        <v>-5.5756156884544505E-3</v>
      </c>
      <c r="I41" s="3">
        <f>LN('Historical Data'!I42/'Historical Data'!I41)</f>
        <v>5.7175065231845734E-2</v>
      </c>
      <c r="J41" s="3">
        <f>LN('Historical Data'!J42/'Historical Data'!J41)</f>
        <v>-9.7351841942483308E-2</v>
      </c>
      <c r="K41" s="3">
        <f>LN('Historical Data'!K42/'Historical Data'!K41)</f>
        <v>3.439015826826522E-2</v>
      </c>
    </row>
    <row r="42" spans="1:50" x14ac:dyDescent="0.35">
      <c r="A42" s="7">
        <v>45261</v>
      </c>
      <c r="B42" s="3">
        <f>LN('Historical Data'!B43/'Historical Data'!B42)</f>
        <v>-4.3144957906549132E-2</v>
      </c>
      <c r="C42" s="3">
        <f>LN('Historical Data'!C43/'Historical Data'!C42)</f>
        <v>2.1228901674042767E-2</v>
      </c>
      <c r="D42" s="3">
        <f>LN('Historical Data'!D43/'Historical Data'!D42)</f>
        <v>6.0126842437214202E-2</v>
      </c>
      <c r="E42" s="3">
        <f>LN('Historical Data'!E43/'Historical Data'!E42)</f>
        <v>2.9301123803818375E-3</v>
      </c>
      <c r="F42" s="3">
        <f>LN('Historical Data'!F43/'Historical Data'!F42)</f>
        <v>5.1899228156258442E-2</v>
      </c>
      <c r="G42" s="3">
        <f>LN('Historical Data'!G43/'Historical Data'!G42)</f>
        <v>9.7321668426132601E-2</v>
      </c>
      <c r="H42" s="3">
        <f>LN('Historical Data'!H43/'Historical Data'!H42)</f>
        <v>5.5700700580903331E-2</v>
      </c>
      <c r="I42" s="3">
        <f>LN('Historical Data'!I43/'Historical Data'!I42)</f>
        <v>0.2171470858522099</v>
      </c>
      <c r="J42" s="3">
        <f>LN('Historical Data'!J43/'Historical Data'!J42)</f>
        <v>5.7769965221998926E-2</v>
      </c>
      <c r="K42" s="3">
        <f>LN('Historical Data'!K43/'Historical Data'!K42)</f>
        <v>-0.28270414165861452</v>
      </c>
    </row>
    <row r="43" spans="1:50" x14ac:dyDescent="0.35">
      <c r="A43" s="7">
        <v>45292</v>
      </c>
      <c r="B43" s="3">
        <f>LN('Historical Data'!B44/'Historical Data'!B43)</f>
        <v>-1.9992689868358709E-2</v>
      </c>
      <c r="C43" s="3">
        <f>LN('Historical Data'!C44/'Historical Data'!C43)</f>
        <v>0.1300782725134208</v>
      </c>
      <c r="D43" s="3">
        <f>LN('Historical Data'!D44/'Historical Data'!D43)</f>
        <v>9.7227178204067247E-2</v>
      </c>
      <c r="E43" s="3">
        <f>LN('Historical Data'!E44/'Historical Data'!E43)</f>
        <v>-1.1774499410360764E-2</v>
      </c>
      <c r="F43" s="3">
        <f>LN('Historical Data'!F44/'Historical Data'!F43)</f>
        <v>5.6849523171375725E-2</v>
      </c>
      <c r="G43" s="3">
        <f>LN('Historical Data'!G44/'Historical Data'!G43)</f>
        <v>0.22816509890920028</v>
      </c>
      <c r="H43" s="3">
        <f>LN('Historical Data'!H44/'Historical Data'!H43)</f>
        <v>3.959990358943765E-2</v>
      </c>
      <c r="I43" s="3">
        <f>LN('Historical Data'!I44/'Historical Data'!I43)</f>
        <v>0.25138848615801102</v>
      </c>
      <c r="J43" s="3">
        <f>LN('Historical Data'!J44/'Historical Data'!J43)</f>
        <v>3.6879190645804439E-3</v>
      </c>
      <c r="K43" s="3">
        <f>LN('Historical Data'!K44/'Historical Data'!K43)</f>
        <v>7.5015243730299289E-2</v>
      </c>
    </row>
    <row r="44" spans="1:50" x14ac:dyDescent="0.35">
      <c r="A44" s="7">
        <v>45323</v>
      </c>
      <c r="B44" s="3">
        <f>LN('Historical Data'!B45/'Historical Data'!B44)</f>
        <v>-5.1372436126996636E-2</v>
      </c>
      <c r="C44" s="3">
        <f>LN('Historical Data'!C45/'Historical Data'!C44)</f>
        <v>2.0272856475022888E-2</v>
      </c>
      <c r="D44" s="3">
        <f>LN('Historical Data'!D45/'Historical Data'!D44)</f>
        <v>1.8980548516391294E-2</v>
      </c>
      <c r="E44" s="3">
        <f>LN('Historical Data'!E45/'Historical Data'!E44)</f>
        <v>8.6234110240620193E-2</v>
      </c>
      <c r="F44" s="3">
        <f>LN('Historical Data'!F45/'Historical Data'!F44)</f>
        <v>1.4241837560920054E-2</v>
      </c>
      <c r="G44" s="3">
        <f>LN('Historical Data'!G45/'Historical Data'!G44)</f>
        <v>-8.2662160190054342E-3</v>
      </c>
      <c r="H44" s="3">
        <f>LN('Historical Data'!H45/'Historical Data'!H44)</f>
        <v>1.8819120395825964E-2</v>
      </c>
      <c r="I44" s="3">
        <f>LN('Historical Data'!I45/'Historical Data'!I44)</f>
        <v>0.13289289689031697</v>
      </c>
      <c r="J44" s="3">
        <f>LN('Historical Data'!J45/'Historical Data'!J44)</f>
        <v>0.11754440717623406</v>
      </c>
      <c r="K44" s="3">
        <f>LN('Historical Data'!K45/'Historical Data'!K44)</f>
        <v>-0.13838336066026199</v>
      </c>
    </row>
    <row r="45" spans="1:50" x14ac:dyDescent="0.35">
      <c r="A45" s="7">
        <v>45352</v>
      </c>
      <c r="B45" s="3">
        <f>LN('Historical Data'!B46/'Historical Data'!B45)</f>
        <v>-6.7289048227977804E-3</v>
      </c>
      <c r="C45" s="3">
        <f>LN('Historical Data'!C46/'Historical Data'!C45)</f>
        <v>-3.0279762814048001E-2</v>
      </c>
      <c r="D45" s="3">
        <f>LN('Historical Data'!D46/'Historical Data'!D45)</f>
        <v>-1.4899878856964232E-2</v>
      </c>
      <c r="E45" s="3">
        <f>LN('Historical Data'!E46/'Historical Data'!E45)</f>
        <v>7.5583905512683666E-2</v>
      </c>
      <c r="F45" s="3">
        <f>LN('Historical Data'!F46/'Historical Data'!F45)</f>
        <v>-6.5140780328364192E-2</v>
      </c>
      <c r="G45" s="3">
        <f>LN('Historical Data'!G46/'Historical Data'!G45)</f>
        <v>-0.12116349554822556</v>
      </c>
      <c r="H45" s="3">
        <f>LN('Historical Data'!H46/'Historical Data'!H45)</f>
        <v>-7.754035269129618E-2</v>
      </c>
      <c r="I45" s="3">
        <f>LN('Historical Data'!I46/'Historical Data'!I45)</f>
        <v>-4.4699830913124336E-2</v>
      </c>
      <c r="J45" s="3">
        <f>LN('Historical Data'!J46/'Historical Data'!J45)</f>
        <v>-9.9178971444972758E-2</v>
      </c>
      <c r="K45" s="3">
        <f>LN('Historical Data'!K46/'Historical Data'!K45)</f>
        <v>4.172493733344055E-2</v>
      </c>
    </row>
    <row r="46" spans="1:50" x14ac:dyDescent="0.35">
      <c r="A46" s="7">
        <v>45383</v>
      </c>
      <c r="B46" s="3">
        <f>LN('Historical Data'!B47/'Historical Data'!B46)</f>
        <v>0.1210587863632492</v>
      </c>
      <c r="C46" s="3">
        <f>LN('Historical Data'!C47/'Historical Data'!C46)</f>
        <v>8.1949013132249712E-3</v>
      </c>
      <c r="D46" s="3">
        <f>LN('Historical Data'!D47/'Historical Data'!D46)</f>
        <v>2.1516050536095385E-2</v>
      </c>
      <c r="E46" s="3">
        <f>LN('Historical Data'!E47/'Historical Data'!E46)</f>
        <v>5.7997520517486773E-2</v>
      </c>
      <c r="F46" s="3">
        <f>LN('Historical Data'!F47/'Historical Data'!F46)</f>
        <v>-7.8113731298553608E-3</v>
      </c>
      <c r="G46" s="3">
        <f>LN('Historical Data'!G47/'Historical Data'!G46)</f>
        <v>8.1784588705714423E-2</v>
      </c>
      <c r="H46" s="3">
        <f>LN('Historical Data'!H47/'Historical Data'!H46)</f>
        <v>6.416452814699293E-2</v>
      </c>
      <c r="I46" s="3">
        <f>LN('Historical Data'!I47/'Historical Data'!I46)</f>
        <v>0.23812762950743169</v>
      </c>
      <c r="J46" s="3">
        <f>LN('Historical Data'!J47/'Historical Data'!J46)</f>
        <v>3.3015574507320136E-2</v>
      </c>
      <c r="K46" s="3">
        <f>LN('Historical Data'!K47/'Historical Data'!K46)</f>
        <v>-2.8782150618005268E-2</v>
      </c>
    </row>
    <row r="47" spans="1:50" x14ac:dyDescent="0.35">
      <c r="A47" s="7">
        <v>45413</v>
      </c>
      <c r="B47" s="3">
        <f>LN('Historical Data'!B48/'Historical Data'!B47)</f>
        <v>9.2614080821329867E-2</v>
      </c>
      <c r="C47" s="3">
        <f>LN('Historical Data'!C48/'Historical Data'!C47)</f>
        <v>9.1003812230792416E-2</v>
      </c>
      <c r="D47" s="3">
        <f>LN('Historical Data'!D48/'Historical Data'!D47)</f>
        <v>0.18936557968972126</v>
      </c>
      <c r="E47" s="3">
        <f>LN('Historical Data'!E48/'Historical Data'!E47)</f>
        <v>5.4433293071800067E-2</v>
      </c>
      <c r="F47" s="3">
        <f>LN('Historical Data'!F48/'Historical Data'!F47)</f>
        <v>-1.3307433172125922E-2</v>
      </c>
      <c r="G47" s="3">
        <f>LN('Historical Data'!G48/'Historical Data'!G47)</f>
        <v>7.7047636984031068E-2</v>
      </c>
      <c r="H47" s="3">
        <f>LN('Historical Data'!H48/'Historical Data'!H47)</f>
        <v>7.565711276367755E-2</v>
      </c>
      <c r="I47" s="3">
        <f>LN('Historical Data'!I48/'Historical Data'!I47)</f>
        <v>0.11942670510430242</v>
      </c>
      <c r="J47" s="3">
        <f>LN('Historical Data'!J48/'Historical Data'!J47)</f>
        <v>0.18638059482348956</v>
      </c>
      <c r="K47" s="3">
        <f>LN('Historical Data'!K48/'Historical Data'!K47)</f>
        <v>0.10542789883227302</v>
      </c>
    </row>
    <row r="48" spans="1:50" x14ac:dyDescent="0.35">
      <c r="A48" s="7">
        <v>45444</v>
      </c>
      <c r="B48" s="3">
        <f>LN('Historical Data'!B49/'Historical Data'!B48)</f>
        <v>5.2982467636896319E-2</v>
      </c>
      <c r="C48" s="3">
        <f>LN('Historical Data'!C49/'Historical Data'!C48)</f>
        <v>-3.2983028204361768E-2</v>
      </c>
      <c r="D48" s="3">
        <f>LN('Historical Data'!D49/'Historical Data'!D48)</f>
        <v>3.9612319091233061E-3</v>
      </c>
      <c r="E48" s="3">
        <f>LN('Historical Data'!E49/'Historical Data'!E48)</f>
        <v>-5.8867034034286052E-2</v>
      </c>
      <c r="F48" s="3">
        <f>LN('Historical Data'!F49/'Historical Data'!F48)</f>
        <v>4.9851534670772961E-2</v>
      </c>
      <c r="G48" s="3">
        <f>LN('Historical Data'!G49/'Historical Data'!G48)</f>
        <v>-5.906352286096573E-2</v>
      </c>
      <c r="H48" s="3">
        <f>LN('Historical Data'!H49/'Historical Data'!H48)</f>
        <v>-6.6128295162811698E-2</v>
      </c>
      <c r="I48" s="3">
        <f>LN('Historical Data'!I49/'Historical Data'!I48)</f>
        <v>-5.4138578147419666E-2</v>
      </c>
      <c r="J48" s="3">
        <f>LN('Historical Data'!J49/'Historical Data'!J48)</f>
        <v>-1.2471136235338492E-2</v>
      </c>
      <c r="K48" s="3">
        <f>LN('Historical Data'!K49/'Historical Data'!K48)</f>
        <v>0.15937826393515947</v>
      </c>
    </row>
    <row r="49" spans="1:12" x14ac:dyDescent="0.35">
      <c r="A49" s="7">
        <v>45474</v>
      </c>
      <c r="B49" s="3">
        <f>LN('Historical Data'!B50/'Historical Data'!B49)</f>
        <v>3.068396921024014E-2</v>
      </c>
      <c r="C49" s="3">
        <f>LN('Historical Data'!C50/'Historical Data'!C49)</f>
        <v>-4.6413058043475758E-2</v>
      </c>
      <c r="D49" s="3">
        <f>LN('Historical Data'!D50/'Historical Data'!D49)</f>
        <v>1.3230060830966475E-2</v>
      </c>
      <c r="E49" s="3">
        <f>LN('Historical Data'!E50/'Historical Data'!E49)</f>
        <v>-4.8737662183776335E-2</v>
      </c>
      <c r="F49" s="3">
        <f>LN('Historical Data'!F50/'Historical Data'!F49)</f>
        <v>4.2941192675674547E-2</v>
      </c>
      <c r="G49" s="3">
        <f>LN('Historical Data'!G50/'Historical Data'!G49)</f>
        <v>9.3387938880244464E-2</v>
      </c>
      <c r="H49" s="3">
        <f>LN('Historical Data'!H50/'Historical Data'!H49)</f>
        <v>-2.8966923351103767E-3</v>
      </c>
      <c r="I49" s="3">
        <f>LN('Historical Data'!I50/'Historical Data'!I49)</f>
        <v>1.9883686113447131E-2</v>
      </c>
      <c r="J49" s="3">
        <f>LN('Historical Data'!J50/'Historical Data'!J49)</f>
        <v>1.5927339377539446E-2</v>
      </c>
      <c r="K49" s="3">
        <f>LN('Historical Data'!K50/'Historical Data'!K49)</f>
        <v>-8.0549148643581495E-2</v>
      </c>
    </row>
    <row r="50" spans="1:12" x14ac:dyDescent="0.35">
      <c r="A50" s="7">
        <v>45505</v>
      </c>
      <c r="B50" s="3">
        <f>LN('Historical Data'!B51/'Historical Data'!B50)</f>
        <v>1.8473262923187156E-2</v>
      </c>
      <c r="C50" s="3">
        <f>LN('Historical Data'!C51/'Historical Data'!C50)</f>
        <v>4.2930694019627513E-2</v>
      </c>
      <c r="D50" s="3">
        <f>LN('Historical Data'!D51/'Historical Data'!D50)</f>
        <v>5.7752199032609211E-2</v>
      </c>
      <c r="E50" s="3">
        <f>LN('Historical Data'!E51/'Historical Data'!E50)</f>
        <v>1.5005011935107027E-2</v>
      </c>
      <c r="F50" s="3">
        <f>LN('Historical Data'!F51/'Historical Data'!F50)</f>
        <v>2.1410164808637687E-2</v>
      </c>
      <c r="G50" s="3">
        <f>LN('Historical Data'!G51/'Historical Data'!G50)</f>
        <v>9.3563141858780313E-2</v>
      </c>
      <c r="H50" s="3">
        <f>LN('Historical Data'!H51/'Historical Data'!H50)</f>
        <v>3.2861651968684527E-2</v>
      </c>
      <c r="I50" s="3">
        <f>LN('Historical Data'!I51/'Historical Data'!I50)</f>
        <v>1.7192152936688566E-2</v>
      </c>
      <c r="J50" s="3">
        <f>LN('Historical Data'!J51/'Historical Data'!J50)</f>
        <v>0.18733447771846443</v>
      </c>
      <c r="K50" s="3">
        <f>LN('Historical Data'!K51/'Historical Data'!K50)</f>
        <v>0.20044139025591809</v>
      </c>
    </row>
    <row r="51" spans="1:12" x14ac:dyDescent="0.35">
      <c r="A51" s="7">
        <v>45536</v>
      </c>
      <c r="B51" s="3">
        <f>LN('Historical Data'!B52/'Historical Data'!B51)</f>
        <v>-3.090152026798262E-2</v>
      </c>
      <c r="C51" s="3">
        <f>LN('Historical Data'!C52/'Historical Data'!C51)</f>
        <v>3.7560701216951986E-4</v>
      </c>
      <c r="D51" s="3">
        <f>LN('Historical Data'!D52/'Historical Data'!D51)</f>
        <v>-1.2669144532561731E-2</v>
      </c>
      <c r="E51" s="3">
        <f>LN('Historical Data'!E52/'Historical Data'!E51)</f>
        <v>3.2548791882411866E-2</v>
      </c>
      <c r="F51" s="3">
        <f>LN('Historical Data'!F52/'Historical Data'!F51)</f>
        <v>1.1657227709234271E-2</v>
      </c>
      <c r="G51" s="3">
        <f>LN('Historical Data'!G52/'Historical Data'!G51)</f>
        <v>-7.5725150984857336E-3</v>
      </c>
      <c r="H51" s="3">
        <f>LN('Historical Data'!H52/'Historical Data'!H51)</f>
        <v>-5.7267694658911489E-2</v>
      </c>
      <c r="I51" s="3">
        <f>LN('Historical Data'!I52/'Historical Data'!I51)</f>
        <v>8.9208670987409852E-2</v>
      </c>
      <c r="J51" s="3">
        <f>LN('Historical Data'!J52/'Historical Data'!J51)</f>
        <v>-1.5137462385631574E-2</v>
      </c>
      <c r="K51" s="3">
        <f>LN('Historical Data'!K52/'Historical Data'!K51)</f>
        <v>-4.6070554116789973E-2</v>
      </c>
    </row>
    <row r="52" spans="1:12" x14ac:dyDescent="0.35">
      <c r="A52" s="7">
        <v>45566</v>
      </c>
      <c r="B52" s="3">
        <f>LN('Historical Data'!B53/'Historical Data'!B52)</f>
        <v>4.9314895158928958E-2</v>
      </c>
      <c r="C52" s="3">
        <f>LN('Historical Data'!C53/'Historical Data'!C52)</f>
        <v>0.1091141914075318</v>
      </c>
      <c r="D52" s="3">
        <f>LN('Historical Data'!D53/'Historical Data'!D52)</f>
        <v>-4.6354474072232837E-2</v>
      </c>
      <c r="E52" s="3">
        <f>LN('Historical Data'!E53/'Historical Data'!E52)</f>
        <v>-1.2703716289766747E-2</v>
      </c>
      <c r="F52" s="3">
        <f>LN('Historical Data'!F53/'Historical Data'!F52)</f>
        <v>6.5949681456610135E-2</v>
      </c>
      <c r="G52" s="3">
        <f>LN('Historical Data'!G53/'Historical Data'!G52)</f>
        <v>1.1804893708297072E-2</v>
      </c>
      <c r="H52" s="3">
        <f>LN('Historical Data'!H53/'Historical Data'!H52)</f>
        <v>4.1244188219432196E-2</v>
      </c>
      <c r="I52" s="3">
        <f>LN('Historical Data'!I53/'Historical Data'!I52)</f>
        <v>4.052044667082088E-2</v>
      </c>
      <c r="J52" s="3">
        <f>LN('Historical Data'!J53/'Historical Data'!J52)</f>
        <v>9.8725366541661544E-2</v>
      </c>
      <c r="K52" s="3">
        <f>LN('Historical Data'!K53/'Historical Data'!K52)</f>
        <v>0.32314733984989286</v>
      </c>
    </row>
    <row r="53" spans="1:12" x14ac:dyDescent="0.35">
      <c r="A53" s="7">
        <v>45597</v>
      </c>
      <c r="B53" s="3">
        <f>LN('Historical Data'!B54/'Historical Data'!B53)</f>
        <v>5.4787533346067847E-2</v>
      </c>
      <c r="C53" s="3">
        <f>LN('Historical Data'!C54/'Historical Data'!C53)</f>
        <v>5.3841874291946805E-2</v>
      </c>
      <c r="D53" s="3">
        <f>LN('Historical Data'!D54/'Historical Data'!D53)</f>
        <v>0.35795762597005215</v>
      </c>
      <c r="E53" s="3">
        <f>LN('Historical Data'!E54/'Historical Data'!E53)</f>
        <v>0.11373050870199757</v>
      </c>
      <c r="F53" s="3">
        <f>LN('Historical Data'!F54/'Historical Data'!F53)</f>
        <v>-1.2024553658868063E-2</v>
      </c>
      <c r="G53" s="3">
        <f>LN('Historical Data'!G54/'Historical Data'!G53)</f>
        <v>1.929648710352258E-2</v>
      </c>
      <c r="H53" s="3">
        <f>LN('Historical Data'!H54/'Historical Data'!H53)</f>
        <v>-2.6396642276690797E-3</v>
      </c>
      <c r="I53" s="3">
        <f>LN('Historical Data'!I54/'Historical Data'!I53)</f>
        <v>-2.9062255247423743E-2</v>
      </c>
      <c r="J53" s="3">
        <f>LN('Historical Data'!J54/'Historical Data'!J53)</f>
        <v>-0.10365444371966073</v>
      </c>
      <c r="K53" s="3">
        <f>LN('Historical Data'!K54/'Historical Data'!K53)</f>
        <v>0.15701068227268675</v>
      </c>
    </row>
    <row r="54" spans="1:12" x14ac:dyDescent="0.35">
      <c r="A54" s="7">
        <v>45627</v>
      </c>
      <c r="B54" s="3">
        <f>LN('Historical Data'!B55/'Historical Data'!B54)</f>
        <v>-5.9307734052308728E-2</v>
      </c>
      <c r="C54" s="3">
        <f>LN('Historical Data'!C55/'Historical Data'!C54)</f>
        <v>8.0074263203382873E-2</v>
      </c>
      <c r="D54" s="3">
        <f>LN('Historical Data'!D55/'Historical Data'!D54)</f>
        <v>-4.3988312940377625E-2</v>
      </c>
      <c r="E54" s="3">
        <f>LN('Historical Data'!E55/'Historical Data'!E54)</f>
        <v>7.6030048629823127E-2</v>
      </c>
      <c r="F54" s="3">
        <f>LN('Historical Data'!F55/'Historical Data'!F54)</f>
        <v>5.3358623794751016E-2</v>
      </c>
      <c r="G54" s="3">
        <f>LN('Historical Data'!G55/'Historical Data'!G54)</f>
        <v>0.16382550758638034</v>
      </c>
      <c r="H54" s="3">
        <f>LN('Historical Data'!H55/'Historical Data'!H54)</f>
        <v>-1.5396914910852239E-2</v>
      </c>
      <c r="I54" s="3">
        <f>LN('Historical Data'!I55/'Historical Data'!I54)</f>
        <v>-0.11185739729623077</v>
      </c>
      <c r="J54" s="3">
        <f>LN('Historical Data'!J55/'Historical Data'!J54)</f>
        <v>2.0315404748587101E-2</v>
      </c>
      <c r="K54" s="3">
        <f>LN('Historical Data'!K55/'Historical Data'!K54)</f>
        <v>1.8801648208516136E-3</v>
      </c>
    </row>
    <row r="55" spans="1:12" x14ac:dyDescent="0.35">
      <c r="A55" s="7">
        <v>45658</v>
      </c>
      <c r="B55" s="3">
        <f>LN('Historical Data'!B56/'Historical Data'!B55)</f>
        <v>2.4444370175878357E-2</v>
      </c>
      <c r="C55" s="3">
        <f>LN('Historical Data'!C56/'Historical Data'!C55)</f>
        <v>-0.11301907319465797</v>
      </c>
      <c r="D55" s="3">
        <f>LN('Historical Data'!D56/'Historical Data'!D55)</f>
        <v>-0.10392024639692474</v>
      </c>
      <c r="E55" s="3">
        <f>LN('Historical Data'!E56/'Historical Data'!E55)</f>
        <v>-0.18077355882844928</v>
      </c>
      <c r="F55" s="3">
        <f>LN('Historical Data'!F56/'Historical Data'!F55)</f>
        <v>3.8375599098080644E-2</v>
      </c>
      <c r="G55" s="3">
        <f>LN('Historical Data'!G56/'Historical Data'!G55)</f>
        <v>-3.0914794434586994E-2</v>
      </c>
      <c r="H55" s="3">
        <f>LN('Historical Data'!H56/'Historical Data'!H55)</f>
        <v>-4.4511876139467256E-2</v>
      </c>
      <c r="I55" s="3">
        <f>LN('Historical Data'!I56/'Historical Data'!I55)</f>
        <v>3.959826013835592E-2</v>
      </c>
      <c r="J55" s="3">
        <f>LN('Historical Data'!J56/'Historical Data'!J55)</f>
        <v>-2.1347459161905852E-2</v>
      </c>
      <c r="K55" s="3">
        <f>LN('Historical Data'!K56/'Historical Data'!K55)</f>
        <v>-0.32279457743202117</v>
      </c>
    </row>
    <row r="56" spans="1:12" x14ac:dyDescent="0.35">
      <c r="A56" s="7">
        <v>45689</v>
      </c>
      <c r="B56" s="3">
        <f>LN('Historical Data'!B57/'Historical Data'!B56)</f>
        <v>-8.3914619440841831E-2</v>
      </c>
      <c r="C56" s="3">
        <f>LN('Historical Data'!C57/'Historical Data'!C56)</f>
        <v>-0.10951460018138329</v>
      </c>
      <c r="D56" s="3">
        <f>LN('Historical Data'!D57/'Historical Data'!D56)</f>
        <v>-0.17489789472231479</v>
      </c>
      <c r="E56" s="3">
        <f>LN('Historical Data'!E57/'Historical Data'!E56)</f>
        <v>-9.6344435143580889E-2</v>
      </c>
      <c r="F56" s="3">
        <f>LN('Historical Data'!F57/'Historical Data'!F56)</f>
        <v>-5.0151530248652619E-2</v>
      </c>
      <c r="G56" s="3">
        <f>LN('Historical Data'!G57/'Historical Data'!G56)</f>
        <v>-0.14785526247666125</v>
      </c>
      <c r="H56" s="3">
        <f>LN('Historical Data'!H57/'Historical Data'!H56)</f>
        <v>-5.394230591827405E-2</v>
      </c>
      <c r="I56" s="3">
        <f>LN('Historical Data'!I57/'Historical Data'!I56)</f>
        <v>-0.14202997527938754</v>
      </c>
      <c r="J56" s="3">
        <f>LN('Historical Data'!J57/'Historical Data'!J56)</f>
        <v>-0.17206436574276479</v>
      </c>
      <c r="K56" s="3">
        <f>LN('Historical Data'!K57/'Historical Data'!K56)</f>
        <v>-0.12265871571986731</v>
      </c>
    </row>
    <row r="57" spans="1:12" x14ac:dyDescent="0.35">
      <c r="A57" s="7">
        <v>45717</v>
      </c>
      <c r="B57" s="3">
        <f>LN('Historical Data'!B58/'Historical Data'!B57)</f>
        <v>-4.4320876874360447E-2</v>
      </c>
      <c r="C57" s="3">
        <f>LN('Historical Data'!C58/'Historical Data'!C57)</f>
        <v>-3.117579266731578E-2</v>
      </c>
      <c r="D57" s="3">
        <f>LN('Historical Data'!D58/'Historical Data'!D57)</f>
        <v>0.14239614624617514</v>
      </c>
      <c r="E57" s="3">
        <f>LN('Historical Data'!E58/'Historical Data'!E57)</f>
        <v>2.7696891217681978E-2</v>
      </c>
      <c r="F57" s="3">
        <f>LN('Historical Data'!F58/'Historical Data'!F57)</f>
        <v>-1.0920509148451579E-4</v>
      </c>
      <c r="G57" s="3">
        <f>LN('Historical Data'!G58/'Historical Data'!G57)</f>
        <v>-4.7744663198005764E-2</v>
      </c>
      <c r="H57" s="3">
        <f>LN('Historical Data'!H58/'Historical Data'!H57)</f>
        <v>5.1578187367982753E-2</v>
      </c>
      <c r="I57" s="3">
        <f>LN('Historical Data'!I58/'Historical Data'!I57)</f>
        <v>5.0620854316162254E-3</v>
      </c>
      <c r="J57" s="3">
        <f>LN('Historical Data'!J58/'Historical Data'!J57)</f>
        <v>6.4873633877675996E-3</v>
      </c>
      <c r="K57" s="3">
        <f>LN('Historical Data'!K58/'Historical Data'!K57)</f>
        <v>8.5028654346040039E-2</v>
      </c>
    </row>
    <row r="58" spans="1:12" x14ac:dyDescent="0.35">
      <c r="A58" s="7">
        <v>45748</v>
      </c>
      <c r="B58" s="3">
        <f>LN('Historical Data'!B59/'Historical Data'!B58)</f>
        <v>-5.6383367673479748E-2</v>
      </c>
      <c r="C58" s="3">
        <f>LN('Historical Data'!C59/'Historical Data'!C58)</f>
        <v>0.10584299332548866</v>
      </c>
      <c r="D58" s="3">
        <f>LN('Historical Data'!D59/'Historical Data'!D58)</f>
        <v>0.22928668885353229</v>
      </c>
      <c r="E58" s="3">
        <f>LN('Historical Data'!E59/'Historical Data'!E58)</f>
        <v>7.833610932493125E-2</v>
      </c>
      <c r="F58" s="3">
        <f>LN('Historical Data'!F59/'Historical Data'!F58)</f>
        <v>6.7836973067498363E-2</v>
      </c>
      <c r="G58" s="3">
        <f>LN('Historical Data'!G59/'Historical Data'!G58)</f>
        <v>0.16500491082838339</v>
      </c>
      <c r="H58" s="3">
        <f>LN('Historical Data'!H59/'Historical Data'!H58)</f>
        <v>0.15246488033430833</v>
      </c>
      <c r="I58" s="3">
        <f>LN('Historical Data'!I59/'Historical Data'!I58)</f>
        <v>0.21562358585006208</v>
      </c>
      <c r="J58" s="3">
        <f>LN('Historical Data'!J59/'Historical Data'!J58)</f>
        <v>0.16596642179740731</v>
      </c>
      <c r="K58" s="3">
        <f>LN('Historical Data'!K59/'Historical Data'!K58)</f>
        <v>0.20529308592299816</v>
      </c>
    </row>
    <row r="59" spans="1:12" x14ac:dyDescent="0.35">
      <c r="A59" s="7">
        <v>45778</v>
      </c>
      <c r="B59" s="3">
        <f>LN('Historical Data'!B60/'Historical Data'!B59)</f>
        <v>2.259081457014863E-2</v>
      </c>
      <c r="C59" s="3">
        <f>LN('Historical Data'!C60/'Historical Data'!C59)</f>
        <v>6.7792209514485668E-2</v>
      </c>
      <c r="D59" s="3">
        <f>LN('Historical Data'!D60/'Historical Data'!D59)</f>
        <v>0.12990483651641627</v>
      </c>
      <c r="E59" s="3">
        <f>LN('Historical Data'!E60/'Historical Data'!E59)</f>
        <v>2.5807887672444109E-2</v>
      </c>
      <c r="F59" s="3">
        <f>LN('Historical Data'!F60/'Historical Data'!F59)</f>
        <v>-4.1241918587303777E-2</v>
      </c>
      <c r="G59" s="3">
        <f>LN('Historical Data'!G60/'Historical Data'!G59)</f>
        <v>0.13096244320498607</v>
      </c>
      <c r="H59" s="3">
        <f>LN('Historical Data'!H60/'Historical Data'!H59)</f>
        <v>7.9240193706366577E-2</v>
      </c>
      <c r="I59" s="3">
        <f>LN('Historical Data'!I60/'Historical Data'!I59)</f>
        <v>0.15629430925706592</v>
      </c>
      <c r="J59" s="3">
        <f>LN('Historical Data'!J60/'Historical Data'!J59)</f>
        <v>0.27822823612945036</v>
      </c>
      <c r="K59" s="3">
        <f>LN('Historical Data'!K60/'Historical Data'!K59)</f>
        <v>-8.678574344378566E-2</v>
      </c>
    </row>
    <row r="60" spans="1:12" x14ac:dyDescent="0.35">
      <c r="A60" s="7">
        <v>45809</v>
      </c>
      <c r="B60" s="3">
        <f>LN('Historical Data'!B61/'Historical Data'!B60)</f>
        <v>1.1629829038112875E-2</v>
      </c>
      <c r="C60" s="3">
        <f>LN('Historical Data'!C61/'Historical Data'!C60)</f>
        <v>6.4940122421257351E-2</v>
      </c>
      <c r="D60" s="3">
        <f>LN('Historical Data'!D61/'Historical Data'!D60)</f>
        <v>6.5778202991614923E-2</v>
      </c>
      <c r="E60" s="3">
        <f>LN('Historical Data'!E61/'Historical Data'!E60)</f>
        <v>8.6394359386190833E-2</v>
      </c>
      <c r="F60" s="3">
        <f>LN('Historical Data'!F61/'Historical Data'!F60)</f>
        <v>8.029014177694414E-3</v>
      </c>
      <c r="G60" s="3">
        <f>LN('Historical Data'!G61/'Historical Data'!G60)</f>
        <v>4.7551402295751062E-2</v>
      </c>
      <c r="H60" s="3">
        <f>LN('Historical Data'!H61/'Historical Data'!H60)</f>
        <v>7.0044298596332141E-2</v>
      </c>
      <c r="I60" s="3">
        <f>LN('Historical Data'!I61/'Historical Data'!I60)</f>
        <v>0.11859094935910039</v>
      </c>
      <c r="J60" s="3">
        <f>LN('Historical Data'!J61/'Historical Data'!J60)</f>
        <v>0.14904735480651449</v>
      </c>
      <c r="K60" s="3">
        <f>LN('Historical Data'!K61/'Historical Data'!K60)</f>
        <v>-3.00056060666785E-2</v>
      </c>
    </row>
    <row r="61" spans="1:12" x14ac:dyDescent="0.35">
      <c r="A61" s="7">
        <v>45839</v>
      </c>
      <c r="B61" s="3">
        <f>LN('Historical Data'!B62/'Historical Data'!B61)</f>
        <v>0.1118718004455873</v>
      </c>
      <c r="C61" s="3">
        <f>LN('Historical Data'!C62/'Historical Data'!C61)</f>
        <v>-2.2069086817987069E-2</v>
      </c>
      <c r="D61" s="3">
        <f>LN('Historical Data'!D62/'Historical Data'!D61)</f>
        <v>1.2485270109406874E-2</v>
      </c>
      <c r="E61" s="3">
        <f>LN('Historical Data'!E62/'Historical Data'!E61)</f>
        <v>0.10389502783124717</v>
      </c>
      <c r="F61" s="3">
        <f>LN('Historical Data'!F62/'Historical Data'!F61)</f>
        <v>5.0976663601983559E-2</v>
      </c>
      <c r="G61" s="3">
        <f>LN('Historical Data'!G62/'Historical Data'!G61)</f>
        <v>-4.5956121936437395E-2</v>
      </c>
      <c r="H61" s="3">
        <f>LN('Historical Data'!H62/'Historical Data'!H61)</f>
        <v>-5.1559697096131826E-2</v>
      </c>
      <c r="I61" s="3">
        <f>LN('Historical Data'!I62/'Historical Data'!I61)</f>
        <v>-2.0963741925078095E-2</v>
      </c>
      <c r="J61" s="3">
        <f>LN('Historical Data'!J62/'Historical Data'!J61)</f>
        <v>-0.11319539946525574</v>
      </c>
      <c r="K61" s="3">
        <f>LN('Historical Data'!K62/'Historical Data'!K61)</f>
        <v>7.9775673313112888E-2</v>
      </c>
    </row>
    <row r="62" spans="1:12" x14ac:dyDescent="0.35">
      <c r="A62" s="7">
        <v>45870</v>
      </c>
      <c r="B62" s="3">
        <f>LN('Historical Data'!B63/'Historical Data'!B62)</f>
        <v>9.3605314940035864E-2</v>
      </c>
      <c r="C62" s="3">
        <f>LN('Historical Data'!C63/'Historical Data'!C62)</f>
        <v>-4.2050915272994226E-2</v>
      </c>
      <c r="D62" s="3">
        <f>LN('Historical Data'!D63/'Historical Data'!D62)</f>
        <v>0.10377556336566525</v>
      </c>
      <c r="E62" s="3">
        <f>LN('Historical Data'!E63/'Historical Data'!E62)</f>
        <v>0.13260368583841625</v>
      </c>
      <c r="F62" s="3">
        <f>LN('Historical Data'!F63/'Historical Data'!F62)</f>
        <v>-4.5502071748712646E-2</v>
      </c>
      <c r="G62" s="3">
        <f>LN('Historical Data'!G63/'Historical Data'!G62)</f>
        <v>-5.8652971497192338E-3</v>
      </c>
      <c r="H62" s="3">
        <f>LN('Historical Data'!H63/'Historical Data'!H62)</f>
        <v>2.3621924276929041E-2</v>
      </c>
      <c r="I62" s="3">
        <f>LN('Historical Data'!I63/'Historical Data'!I62)</f>
        <v>6.8770841774636007E-2</v>
      </c>
      <c r="J62" s="3">
        <f>LN('Historical Data'!J63/'Historical Data'!J62)</f>
        <v>0.21809820314316916</v>
      </c>
      <c r="K62" s="3">
        <f>LN('Historical Data'!K63/'Historical Data'!K62)</f>
        <v>0.28669317499177072</v>
      </c>
    </row>
    <row r="63" spans="1:12" x14ac:dyDescent="0.35">
      <c r="A63" s="28">
        <v>45901</v>
      </c>
      <c r="B63" s="3">
        <f>LN('Historical Data'!B64/'Historical Data'!B63)</f>
        <v>-2.8602969676944572E-2</v>
      </c>
      <c r="C63" s="3">
        <f>LN('Historical Data'!C64/'Historical Data'!C63)</f>
        <v>-2.3501219834375267E-2</v>
      </c>
      <c r="D63" s="3">
        <f>LN('Historical Data'!D64/'Historical Data'!D63)</f>
        <v>7.2612593217592253E-2</v>
      </c>
      <c r="E63" s="3">
        <f>LN('Historical Data'!E64/'Historical Data'!E63)</f>
        <v>3.4704908697474966E-2</v>
      </c>
      <c r="F63" s="3">
        <f>LN('Historical Data'!F64/'Historical Data'!F63)</f>
        <v>-3.2527150379618827E-2</v>
      </c>
      <c r="G63" s="3">
        <f>LN('Historical Data'!G64/'Historical Data'!G63)</f>
        <v>-3.0175710620640162E-2</v>
      </c>
      <c r="H63" s="3">
        <f>LN('Historical Data'!H64/'Historical Data'!H63)</f>
        <v>-1.2316096469734869E-2</v>
      </c>
      <c r="I63" s="3">
        <f>LN('Historical Data'!I64/'Historical Data'!I63)</f>
        <v>-2.5841638089870434E-2</v>
      </c>
      <c r="J63" s="3">
        <f>LN('Historical Data'!J64/'Historical Data'!J63)</f>
        <v>0.10872862368549222</v>
      </c>
      <c r="K63" s="3">
        <f>LN('Historical Data'!K64/'Historical Data'!K63)</f>
        <v>-3.6570872165064397E-2</v>
      </c>
    </row>
    <row r="64" spans="1:12" x14ac:dyDescent="0.35">
      <c r="A64" s="51" t="s">
        <v>12</v>
      </c>
      <c r="B64" s="30">
        <f t="shared" ref="B64:K64" si="3">AVERAGE(B3:B63)</f>
        <v>1.2900316782046195E-2</v>
      </c>
      <c r="C64" s="30">
        <f t="shared" si="3"/>
        <v>5.0679945259195069E-3</v>
      </c>
      <c r="D64" s="30">
        <f t="shared" si="3"/>
        <v>3.9274075328775727E-2</v>
      </c>
      <c r="E64" s="30">
        <f t="shared" si="3"/>
        <v>2.0325732292115716E-2</v>
      </c>
      <c r="F64" s="30">
        <f t="shared" si="3"/>
        <v>8.4529559807241667E-3</v>
      </c>
      <c r="G64" s="30">
        <f t="shared" si="3"/>
        <v>1.6497689856701678E-2</v>
      </c>
      <c r="H64" s="30">
        <f t="shared" si="3"/>
        <v>1.5261162452496113E-2</v>
      </c>
      <c r="I64" s="30">
        <f t="shared" si="3"/>
        <v>4.2645290557284936E-2</v>
      </c>
      <c r="J64" s="30">
        <f t="shared" si="3"/>
        <v>2.836942359865189E-2</v>
      </c>
      <c r="K64" s="31">
        <f t="shared" si="3"/>
        <v>1.8000103140384159E-2</v>
      </c>
      <c r="L64" s="31">
        <f>AVERAGE(B64:K64)</f>
        <v>2.067947445151001E-2</v>
      </c>
    </row>
    <row r="65" spans="1:12" ht="18.5" x14ac:dyDescent="0.45">
      <c r="A65" s="29" t="s">
        <v>13</v>
      </c>
      <c r="B65" s="32">
        <f t="shared" ref="B65:K65" si="4">B64*12</f>
        <v>0.15480380138455435</v>
      </c>
      <c r="C65" s="32">
        <f t="shared" si="4"/>
        <v>6.0815934311034082E-2</v>
      </c>
      <c r="D65" s="32">
        <f t="shared" si="4"/>
        <v>0.47128890394530876</v>
      </c>
      <c r="E65" s="32">
        <f t="shared" si="4"/>
        <v>0.24390878750538858</v>
      </c>
      <c r="F65" s="32">
        <f t="shared" si="4"/>
        <v>0.10143547176869</v>
      </c>
      <c r="G65" s="32">
        <f t="shared" si="4"/>
        <v>0.19797227828042013</v>
      </c>
      <c r="H65" s="32">
        <f t="shared" si="4"/>
        <v>0.18313394942995337</v>
      </c>
      <c r="I65" s="32">
        <f t="shared" si="4"/>
        <v>0.5117434866874192</v>
      </c>
      <c r="J65" s="32">
        <f t="shared" si="4"/>
        <v>0.3404330831838227</v>
      </c>
      <c r="K65" s="33">
        <f t="shared" si="4"/>
        <v>0.21600123768460991</v>
      </c>
      <c r="L65" s="31">
        <f>AVERAGE(B65:K65)</f>
        <v>0.2481536934181201</v>
      </c>
    </row>
    <row r="66" spans="1:12" x14ac:dyDescent="0.35">
      <c r="A66" s="52" t="s">
        <v>14</v>
      </c>
      <c r="B66" s="34">
        <f>_xlfn.VAR.S(AAPL1)</f>
        <v>5.0962477069292867E-3</v>
      </c>
      <c r="C66" s="34">
        <f t="shared" ref="C66:K66" si="5">_xlfn.VAR.S(C3:C64)</f>
        <v>7.4741094556301912E-3</v>
      </c>
      <c r="D66" s="34">
        <f t="shared" si="5"/>
        <v>9.6221282949086728E-3</v>
      </c>
      <c r="E66" s="34">
        <f t="shared" si="5"/>
        <v>6.0091084266450639E-3</v>
      </c>
      <c r="F66" s="34">
        <f t="shared" si="5"/>
        <v>4.6605782407193128E-3</v>
      </c>
      <c r="G66" s="34">
        <f t="shared" si="5"/>
        <v>1.4162000999482385E-2</v>
      </c>
      <c r="H66" s="34">
        <f t="shared" si="5"/>
        <v>3.8336688639038431E-3</v>
      </c>
      <c r="I66" s="34">
        <f t="shared" si="5"/>
        <v>1.9596191569281989E-2</v>
      </c>
      <c r="J66" s="34">
        <f t="shared" si="5"/>
        <v>9.7933269948656029E-3</v>
      </c>
      <c r="K66" s="35">
        <f t="shared" si="5"/>
        <v>3.0555443990937309E-2</v>
      </c>
      <c r="L66" s="31">
        <f>AVERAGE(B66:K66)</f>
        <v>1.1080280454330365E-2</v>
      </c>
    </row>
    <row r="67" spans="1:12" ht="18.5" x14ac:dyDescent="0.45">
      <c r="A67" s="29" t="s">
        <v>15</v>
      </c>
      <c r="B67" s="32">
        <f t="shared" ref="B67:K67" si="6">B66*12</f>
        <v>6.1154972483151437E-2</v>
      </c>
      <c r="C67" s="32">
        <f t="shared" si="6"/>
        <v>8.9689313467562287E-2</v>
      </c>
      <c r="D67" s="32">
        <f t="shared" si="6"/>
        <v>0.11546553953890407</v>
      </c>
      <c r="E67" s="32">
        <f t="shared" si="6"/>
        <v>7.210930111974076E-2</v>
      </c>
      <c r="F67" s="32">
        <f t="shared" si="6"/>
        <v>5.5926938888631754E-2</v>
      </c>
      <c r="G67" s="32">
        <f t="shared" si="6"/>
        <v>0.16994401199378861</v>
      </c>
      <c r="H67" s="32">
        <f t="shared" si="6"/>
        <v>4.6004026366846119E-2</v>
      </c>
      <c r="I67" s="32">
        <f t="shared" si="6"/>
        <v>0.23515429883138386</v>
      </c>
      <c r="J67" s="32">
        <f t="shared" si="6"/>
        <v>0.11751992393838723</v>
      </c>
      <c r="K67" s="33">
        <f t="shared" si="6"/>
        <v>0.36666532789124773</v>
      </c>
      <c r="L67" s="31">
        <f>AVERAGE(B67:K67)</f>
        <v>0.13296336545196438</v>
      </c>
    </row>
    <row r="68" spans="1:12" ht="18.5" x14ac:dyDescent="0.45">
      <c r="A68" s="29" t="s">
        <v>16</v>
      </c>
      <c r="B68" s="32">
        <f t="shared" ref="B68:K68" si="7">SQRT(B67)</f>
        <v>0.2472953143170154</v>
      </c>
      <c r="C68" s="32">
        <f t="shared" si="7"/>
        <v>0.29948174145941231</v>
      </c>
      <c r="D68" s="32">
        <f t="shared" si="7"/>
        <v>0.33980220649504922</v>
      </c>
      <c r="E68" s="32">
        <f t="shared" si="7"/>
        <v>0.26853175067343665</v>
      </c>
      <c r="F68" s="32">
        <f t="shared" si="7"/>
        <v>0.23648877116817144</v>
      </c>
      <c r="G68" s="32">
        <f t="shared" si="7"/>
        <v>0.41224266154024941</v>
      </c>
      <c r="H68" s="32">
        <f t="shared" si="7"/>
        <v>0.21448549220599075</v>
      </c>
      <c r="I68" s="32">
        <f t="shared" si="7"/>
        <v>0.4849271067195397</v>
      </c>
      <c r="J68" s="32">
        <f t="shared" si="7"/>
        <v>0.34281179083921143</v>
      </c>
      <c r="K68" s="33">
        <f t="shared" si="7"/>
        <v>0.60552896536106982</v>
      </c>
      <c r="L68" s="31">
        <f>AVERAGE(B68:K68)</f>
        <v>0.34515958007791464</v>
      </c>
    </row>
    <row r="69" spans="1:12" x14ac:dyDescent="0.35">
      <c r="A69" s="24"/>
      <c r="L69" s="31" t="s">
        <v>17</v>
      </c>
    </row>
  </sheetData>
  <mergeCells count="4">
    <mergeCell ref="B1:K1"/>
    <mergeCell ref="AA3:AE6"/>
    <mergeCell ref="AJ3:AO5"/>
    <mergeCell ref="AT3:AV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FD09-A6A8-4620-8724-57C81663BE75}">
  <dimension ref="B2:M128"/>
  <sheetViews>
    <sheetView workbookViewId="0"/>
  </sheetViews>
  <sheetFormatPr baseColWidth="10" defaultColWidth="8.6328125" defaultRowHeight="14.5" x14ac:dyDescent="0.35"/>
  <cols>
    <col min="3" max="3" width="11.1796875" bestFit="1" customWidth="1"/>
  </cols>
  <sheetData>
    <row r="2" spans="2:13" x14ac:dyDescent="0.35">
      <c r="B2" s="10" t="s">
        <v>104</v>
      </c>
    </row>
    <row r="3" spans="2:13" x14ac:dyDescent="0.35">
      <c r="B3" s="11" t="s">
        <v>105</v>
      </c>
    </row>
    <row r="4" spans="2:13" x14ac:dyDescent="0.35">
      <c r="B4" s="11" t="s">
        <v>106</v>
      </c>
    </row>
    <row r="6" spans="2:13" x14ac:dyDescent="0.35">
      <c r="C6" t="s">
        <v>107</v>
      </c>
      <c r="D6" t="s">
        <v>11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</row>
    <row r="7" spans="2:13" x14ac:dyDescent="0.35">
      <c r="C7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</row>
    <row r="8" spans="2:13" x14ac:dyDescent="0.35">
      <c r="C8" s="5">
        <v>42278</v>
      </c>
      <c r="D8" s="3">
        <v>-1.0092573002143E-2</v>
      </c>
      <c r="E8" s="3">
        <v>6.0295629610582699E-2</v>
      </c>
      <c r="F8" s="3">
        <v>5.7749493160291397E-2</v>
      </c>
      <c r="G8" s="3">
        <v>3.3944490794758003E-2</v>
      </c>
      <c r="H8" s="3">
        <v>-9.16313737814934E-3</v>
      </c>
      <c r="I8" s="3">
        <v>2.20173668642182E-2</v>
      </c>
      <c r="J8" s="3">
        <v>3.19686950229763E-2</v>
      </c>
      <c r="K8" s="3">
        <v>0.111615731878021</v>
      </c>
      <c r="L8" s="3">
        <v>7.30814367907887E-3</v>
      </c>
      <c r="M8" s="3">
        <v>0.106828992195225</v>
      </c>
    </row>
    <row r="9" spans="2:13" x14ac:dyDescent="0.35">
      <c r="C9" s="5">
        <v>42309</v>
      </c>
      <c r="D9" s="3">
        <v>-0.11251899372612501</v>
      </c>
      <c r="E9" s="3">
        <v>1.6544097367590702E-2</v>
      </c>
      <c r="F9" s="3">
        <v>0.106777784815743</v>
      </c>
      <c r="G9" s="3">
        <v>1.9678014389386E-2</v>
      </c>
      <c r="H9" s="3">
        <v>-5.7350570282506596E-3</v>
      </c>
      <c r="I9" s="3">
        <v>4.0208126610127102E-3</v>
      </c>
      <c r="J9" s="3">
        <v>2.7295510153771699E-2</v>
      </c>
      <c r="K9" s="3">
        <v>4.21366146434516E-2</v>
      </c>
      <c r="L9" s="3">
        <v>-6.4657846938183702E-2</v>
      </c>
      <c r="M9" s="3">
        <v>4.1471475073928003E-2</v>
      </c>
    </row>
    <row r="10" spans="2:13" x14ac:dyDescent="0.35">
      <c r="C10" s="5">
        <v>42339</v>
      </c>
      <c r="D10" s="3">
        <v>-7.8223690275916205E-2</v>
      </c>
      <c r="E10" s="3">
        <v>-0.141005521080733</v>
      </c>
      <c r="F10" s="3">
        <v>-7.9018928332655905E-2</v>
      </c>
      <c r="G10" s="3">
        <v>-2.1646359531955799E-2</v>
      </c>
      <c r="H10" s="3">
        <v>-8.94419749963411E-2</v>
      </c>
      <c r="I10" s="3">
        <v>6.9655673594317194E-2</v>
      </c>
      <c r="J10" s="3">
        <v>-7.0544415104640103E-3</v>
      </c>
      <c r="K10" s="3">
        <v>-0.118048921273958</v>
      </c>
      <c r="L10" s="3">
        <v>-6.0407396592500598E-3</v>
      </c>
      <c r="M10" s="3">
        <v>-0.22736053534171499</v>
      </c>
    </row>
    <row r="11" spans="2:13" x14ac:dyDescent="0.35">
      <c r="C11" s="5">
        <v>42370</v>
      </c>
      <c r="D11" s="3">
        <v>-6.6997052393813596E-3</v>
      </c>
      <c r="E11" s="3">
        <v>-6.0535187996337399E-2</v>
      </c>
      <c r="F11" s="3">
        <v>1.9422454104737899E-3</v>
      </c>
      <c r="G11" s="3">
        <v>-5.9710388129316602E-2</v>
      </c>
      <c r="H11" s="3">
        <v>-2.1983306859865999E-2</v>
      </c>
      <c r="I11" s="3">
        <v>-4.8291330997937899E-2</v>
      </c>
      <c r="J11" s="3">
        <v>-7.9498309208141202E-2</v>
      </c>
      <c r="K11" s="3">
        <v>6.8287792452770904E-2</v>
      </c>
      <c r="L11" s="3">
        <v>1.6975604278214901E-2</v>
      </c>
      <c r="M11" s="3">
        <v>3.81019958256497E-3</v>
      </c>
    </row>
    <row r="12" spans="2:13" x14ac:dyDescent="0.35">
      <c r="C12" s="5">
        <v>42401</v>
      </c>
      <c r="D12" s="3">
        <v>0.125157320354541</v>
      </c>
      <c r="E12" s="3">
        <v>7.1783443195858401E-2</v>
      </c>
      <c r="F12" s="3">
        <v>0.142578534915105</v>
      </c>
      <c r="G12" s="3">
        <v>6.1744198908126102E-2</v>
      </c>
      <c r="H12" s="3">
        <v>8.3611711833083399E-2</v>
      </c>
      <c r="I12" s="3">
        <v>6.4994294503500097E-2</v>
      </c>
      <c r="J12" s="3">
        <v>8.9190947392523104E-2</v>
      </c>
      <c r="K12" s="3">
        <v>0.13129063114357201</v>
      </c>
      <c r="L12" s="3">
        <v>0.106419892547938</v>
      </c>
      <c r="M12" s="3">
        <v>0.179948346883504</v>
      </c>
    </row>
    <row r="13" spans="2:13" x14ac:dyDescent="0.35">
      <c r="C13" s="5">
        <v>42430</v>
      </c>
      <c r="D13" s="3">
        <v>-0.15073116328404501</v>
      </c>
      <c r="E13" s="3">
        <v>0.105345354839445</v>
      </c>
      <c r="F13" s="3">
        <v>-5.4995251381042901E-2</v>
      </c>
      <c r="G13" s="3">
        <v>-7.4852490375127298E-2</v>
      </c>
      <c r="H13" s="3">
        <v>2.60082743715387E-2</v>
      </c>
      <c r="I13" s="3">
        <v>3.0043886451143E-2</v>
      </c>
      <c r="J13" s="3">
        <v>-0.102086944313692</v>
      </c>
      <c r="K13" s="3">
        <v>-2.8102482282003202E-3</v>
      </c>
      <c r="L13" s="3">
        <v>-2.6000793462621501E-2</v>
      </c>
      <c r="M13" s="3">
        <v>4.67219857656304E-2</v>
      </c>
    </row>
    <row r="14" spans="2:13" x14ac:dyDescent="0.35">
      <c r="C14" s="5">
        <v>42461</v>
      </c>
      <c r="D14" s="3">
        <v>6.3244564068530199E-2</v>
      </c>
      <c r="E14" s="3">
        <v>9.1500293669527499E-2</v>
      </c>
      <c r="F14" s="3">
        <v>5.7394046550697499E-2</v>
      </c>
      <c r="G14" s="3">
        <v>5.6264170181797503E-2</v>
      </c>
      <c r="H14" s="3">
        <v>-9.2859948083126396E-3</v>
      </c>
      <c r="I14" s="3">
        <v>1.0406931025627401E-2</v>
      </c>
      <c r="J14" s="3">
        <v>6.0872407383542597E-2</v>
      </c>
      <c r="K14" s="3">
        <v>0.27379530569676702</v>
      </c>
      <c r="L14" s="3">
        <v>1.22144916404976E-2</v>
      </c>
      <c r="M14" s="3">
        <v>-7.5598164277962704E-2</v>
      </c>
    </row>
    <row r="15" spans="2:13" x14ac:dyDescent="0.35">
      <c r="C15" s="5">
        <v>42491</v>
      </c>
      <c r="D15" s="3">
        <v>-3.7526380031870699E-2</v>
      </c>
      <c r="E15" s="3">
        <v>-9.9694237179575595E-3</v>
      </c>
      <c r="F15" s="3">
        <v>6.7149815536725098E-3</v>
      </c>
      <c r="G15" s="3">
        <v>-6.2427948790373701E-2</v>
      </c>
      <c r="H15" s="3">
        <v>-8.5287840896339395E-2</v>
      </c>
      <c r="I15" s="3">
        <v>-3.8874471672521602E-2</v>
      </c>
      <c r="J15" s="3">
        <v>-2.8168704888273902E-2</v>
      </c>
      <c r="K15" s="3">
        <v>8.7816409579383192E-3</v>
      </c>
      <c r="L15" s="3">
        <v>1.79961418927433E-2</v>
      </c>
      <c r="M15" s="3">
        <v>-5.0296472117585402E-2</v>
      </c>
    </row>
    <row r="16" spans="2:13" x14ac:dyDescent="0.35">
      <c r="C16" s="5">
        <v>42522</v>
      </c>
      <c r="D16" s="3">
        <v>8.6234897227325899E-2</v>
      </c>
      <c r="E16" s="3">
        <v>5.8602116858603899E-2</v>
      </c>
      <c r="F16" s="3">
        <v>4.4621011910372599E-2</v>
      </c>
      <c r="G16" s="3">
        <v>0.117617033683731</v>
      </c>
      <c r="H16" s="3">
        <v>7.8381625578931802E-2</v>
      </c>
      <c r="I16" s="3">
        <v>8.1145897593295394E-2</v>
      </c>
      <c r="J16" s="3">
        <v>0.10226821138233</v>
      </c>
      <c r="K16" s="3">
        <v>0.19444368648295199</v>
      </c>
      <c r="L16" s="3">
        <v>2.6836990079270001E-3</v>
      </c>
      <c r="M16" s="3">
        <v>0.100785552605708</v>
      </c>
    </row>
    <row r="17" spans="3:13" x14ac:dyDescent="0.35">
      <c r="C17" s="5">
        <v>42552</v>
      </c>
      <c r="D17" s="3">
        <v>1.7974159050108698E-2</v>
      </c>
      <c r="E17" s="3">
        <v>1.3547593605149901E-2</v>
      </c>
      <c r="F17" s="3">
        <v>8.5394146756969394E-2</v>
      </c>
      <c r="G17" s="3">
        <v>-1.88466514728935E-3</v>
      </c>
      <c r="H17" s="3">
        <v>1.6644713453474302E-2</v>
      </c>
      <c r="I17" s="3">
        <v>1.7436713515810501E-2</v>
      </c>
      <c r="J17" s="3">
        <v>1.3667880092926001E-2</v>
      </c>
      <c r="K17" s="3">
        <v>7.1627574906515099E-2</v>
      </c>
      <c r="L17" s="3">
        <v>8.0483252926690594E-3</v>
      </c>
      <c r="M17" s="3">
        <v>-0.10205826719453</v>
      </c>
    </row>
    <row r="18" spans="3:13" x14ac:dyDescent="0.35">
      <c r="C18" s="5">
        <v>42583</v>
      </c>
      <c r="D18" s="3">
        <v>6.8850676352213105E-2</v>
      </c>
      <c r="E18" s="3">
        <v>8.4895362007283995E-2</v>
      </c>
      <c r="F18" s="3">
        <v>-2.2354194790847302E-2</v>
      </c>
      <c r="G18" s="3">
        <v>1.783101105057E-2</v>
      </c>
      <c r="H18" s="3">
        <v>5.18261325108006E-2</v>
      </c>
      <c r="I18" s="3">
        <v>1.69033662562539E-2</v>
      </c>
      <c r="J18" s="3">
        <v>8.6467277800859905E-3</v>
      </c>
      <c r="K18" s="3">
        <v>0.112534943603918</v>
      </c>
      <c r="L18" s="3">
        <v>-4.8208060158298101E-2</v>
      </c>
      <c r="M18" s="3">
        <v>-3.8366401515215601E-2</v>
      </c>
    </row>
    <row r="19" spans="3:13" x14ac:dyDescent="0.35">
      <c r="C19" s="5">
        <v>42614</v>
      </c>
      <c r="D19" s="3">
        <v>4.3250032953223204E-3</v>
      </c>
      <c r="E19" s="3">
        <v>-5.8389300891191299E-2</v>
      </c>
      <c r="F19" s="3">
        <v>-1.00578019810839E-2</v>
      </c>
      <c r="G19" s="3">
        <v>7.2366444151439101E-3</v>
      </c>
      <c r="H19" s="3">
        <v>5.0300642595278097E-2</v>
      </c>
      <c r="I19" s="3">
        <v>2.0983299958293199E-2</v>
      </c>
      <c r="J19" s="3">
        <v>3.9487697460346097E-2</v>
      </c>
      <c r="K19" s="3">
        <v>3.7805255393519199E-2</v>
      </c>
      <c r="L19" s="3">
        <v>-2.2137252386448699E-2</v>
      </c>
      <c r="M19" s="3">
        <v>-3.1364578122918797E-2</v>
      </c>
    </row>
    <row r="20" spans="3:13" x14ac:dyDescent="0.35">
      <c r="C20" s="5">
        <v>42644</v>
      </c>
      <c r="D20" s="3">
        <v>-2.6958628110036E-2</v>
      </c>
      <c r="E20" s="3">
        <v>-5.09721535218811E-2</v>
      </c>
      <c r="F20" s="3">
        <v>1.23271257886633E-3</v>
      </c>
      <c r="G20" s="3">
        <v>-4.2912701854162301E-2</v>
      </c>
      <c r="H20" s="3">
        <v>-4.4205245607739301E-2</v>
      </c>
      <c r="I20" s="3">
        <v>-0.10088266669555999</v>
      </c>
      <c r="J20" s="3">
        <v>5.65832633613808E-3</v>
      </c>
      <c r="K20" s="3">
        <v>0.25902936494828399</v>
      </c>
      <c r="L20" s="3">
        <v>4.8905931370940202E-2</v>
      </c>
      <c r="M20" s="3">
        <v>-4.3041018989242799E-2</v>
      </c>
    </row>
    <row r="21" spans="3:13" x14ac:dyDescent="0.35">
      <c r="C21" s="5">
        <v>42675</v>
      </c>
      <c r="D21" s="3">
        <v>5.1961834686386703E-2</v>
      </c>
      <c r="E21" s="3">
        <v>-9.3305970353376204E-4</v>
      </c>
      <c r="F21" s="3">
        <v>3.6172748362226198E-2</v>
      </c>
      <c r="G21" s="3">
        <v>2.1131417054669401E-2</v>
      </c>
      <c r="H21" s="3">
        <v>1.02213947401691E-2</v>
      </c>
      <c r="I21" s="3">
        <v>-2.8871215548142599E-2</v>
      </c>
      <c r="J21" s="3">
        <v>3.7454194707695197E-2</v>
      </c>
      <c r="K21" s="3">
        <v>0.147932198067462</v>
      </c>
      <c r="L21" s="3">
        <v>-4.4258965747380002E-2</v>
      </c>
      <c r="M21" s="3">
        <v>0.120664921914877</v>
      </c>
    </row>
    <row r="22" spans="3:13" x14ac:dyDescent="0.35">
      <c r="C22" s="5">
        <v>42705</v>
      </c>
      <c r="D22" s="3">
        <v>4.6641670806724697E-2</v>
      </c>
      <c r="E22" s="3">
        <v>9.3639404568043094E-2</v>
      </c>
      <c r="F22" s="3">
        <v>0.126665193961189</v>
      </c>
      <c r="G22" s="3">
        <v>3.4406628236731199E-2</v>
      </c>
      <c r="H22" s="3">
        <v>2.9394458296838798E-2</v>
      </c>
      <c r="I22" s="3">
        <v>0.124625821871002</v>
      </c>
      <c r="J22" s="3">
        <v>3.9598430503795502E-2</v>
      </c>
      <c r="K22" s="3">
        <v>2.2601396001423999E-2</v>
      </c>
      <c r="L22" s="3">
        <v>4.2266979819458102E-2</v>
      </c>
      <c r="M22" s="3">
        <v>0.16462470602003201</v>
      </c>
    </row>
    <row r="23" spans="3:13" x14ac:dyDescent="0.35">
      <c r="C23" s="5">
        <v>42736</v>
      </c>
      <c r="D23" s="3">
        <v>0.12122879105478999</v>
      </c>
      <c r="E23" s="3">
        <v>2.58447007737992E-2</v>
      </c>
      <c r="F23" s="3">
        <v>5.5712575733104397E-2</v>
      </c>
      <c r="G23" s="3">
        <v>2.97178415319676E-2</v>
      </c>
      <c r="H23" s="3">
        <v>4.0175317060230503E-2</v>
      </c>
      <c r="I23" s="3">
        <v>3.9274459839224597E-2</v>
      </c>
      <c r="J23" s="3">
        <v>-1.04178228864404E-2</v>
      </c>
      <c r="K23" s="3">
        <v>-7.3136168658772899E-2</v>
      </c>
      <c r="L23" s="3">
        <v>6.3902440678597794E-2</v>
      </c>
      <c r="M23" s="3">
        <v>-7.7301556161794597E-3</v>
      </c>
    </row>
    <row r="24" spans="3:13" x14ac:dyDescent="0.35">
      <c r="C24" s="5">
        <v>42767</v>
      </c>
      <c r="D24" s="3">
        <v>5.1867836313254999E-2</v>
      </c>
      <c r="E24" s="3">
        <v>4.7942282244817502E-2</v>
      </c>
      <c r="F24" s="3">
        <v>3.7362692017641197E-2</v>
      </c>
      <c r="G24" s="3">
        <v>3.3910452073572499E-3</v>
      </c>
      <c r="H24" s="3">
        <v>1.8033154962766799E-2</v>
      </c>
      <c r="I24" s="3">
        <v>4.6912196653672598E-2</v>
      </c>
      <c r="J24" s="3">
        <v>3.5004766144585003E-2</v>
      </c>
      <c r="K24" s="3">
        <v>7.2105117023227805E-2</v>
      </c>
      <c r="L24" s="3">
        <v>4.6338771256190701E-2</v>
      </c>
      <c r="M24" s="3">
        <v>0.10727857180736899</v>
      </c>
    </row>
    <row r="25" spans="3:13" x14ac:dyDescent="0.35">
      <c r="C25" s="5">
        <v>42795</v>
      </c>
      <c r="D25" s="3">
        <v>-6.9698616600726406E-5</v>
      </c>
      <c r="E25" s="3">
        <v>4.2456680883452801E-2</v>
      </c>
      <c r="F25" s="3">
        <v>1.2937754276961399E-2</v>
      </c>
      <c r="G25" s="3">
        <v>8.6629828263058595E-2</v>
      </c>
      <c r="H25" s="3">
        <v>3.3658779714154999E-2</v>
      </c>
      <c r="I25" s="3">
        <v>5.6121057096083997E-2</v>
      </c>
      <c r="J25" s="3">
        <v>3.8718804289596301E-2</v>
      </c>
      <c r="K25" s="3">
        <v>-4.3434268280365097E-2</v>
      </c>
      <c r="L25" s="3">
        <v>7.8148397388290297E-3</v>
      </c>
      <c r="M25" s="3">
        <v>0.120916402129779</v>
      </c>
    </row>
    <row r="26" spans="3:13" x14ac:dyDescent="0.35">
      <c r="C26" s="5">
        <v>42826</v>
      </c>
      <c r="D26" s="3">
        <v>6.1488283697519901E-2</v>
      </c>
      <c r="E26" s="3">
        <v>7.2577828021652593E-2</v>
      </c>
      <c r="F26" s="3">
        <v>8.1167610352677402E-2</v>
      </c>
      <c r="G26" s="3">
        <v>6.5486530184590705E-2</v>
      </c>
      <c r="H26" s="3">
        <v>5.6827932314917798E-2</v>
      </c>
      <c r="I26" s="3">
        <v>8.0210820579686096E-3</v>
      </c>
      <c r="J26" s="3">
        <v>1.99570496702552E-2</v>
      </c>
      <c r="K26" s="3">
        <v>0.32496960012666698</v>
      </c>
      <c r="L26" s="3">
        <v>1.3818168532902299E-2</v>
      </c>
      <c r="M26" s="3">
        <v>8.2295911367355604E-2</v>
      </c>
    </row>
    <row r="27" spans="3:13" x14ac:dyDescent="0.35">
      <c r="C27" s="5">
        <v>42856</v>
      </c>
      <c r="D27" s="3">
        <v>-5.4796291195822397E-2</v>
      </c>
      <c r="E27" s="3">
        <v>-2.7128667388252699E-2</v>
      </c>
      <c r="F27" s="3">
        <v>-2.7216408682581499E-2</v>
      </c>
      <c r="G27" s="3">
        <v>-5.9920832642841898E-2</v>
      </c>
      <c r="H27" s="3">
        <v>-1.1706074932945501E-2</v>
      </c>
      <c r="I27" s="3">
        <v>-3.1744590376509099E-3</v>
      </c>
      <c r="J27" s="3">
        <v>-7.4001331419806101E-3</v>
      </c>
      <c r="K27" s="3">
        <v>2.5064065621858101E-3</v>
      </c>
      <c r="L27" s="3">
        <v>9.9527058057462606E-2</v>
      </c>
      <c r="M27" s="3">
        <v>5.8654342365638497E-2</v>
      </c>
    </row>
    <row r="28" spans="3:13" x14ac:dyDescent="0.35">
      <c r="C28" s="5">
        <v>42887</v>
      </c>
      <c r="D28" s="3">
        <v>3.2179969733612299E-2</v>
      </c>
      <c r="E28" s="3">
        <v>2.02279136114084E-2</v>
      </c>
      <c r="F28" s="3">
        <v>6.1006997222634897E-2</v>
      </c>
      <c r="G28" s="3">
        <v>1.6873623071082301E-2</v>
      </c>
      <c r="H28" s="3">
        <v>5.0964356296012099E-2</v>
      </c>
      <c r="I28" s="3">
        <v>0.11422980635935299</v>
      </c>
      <c r="J28" s="3">
        <v>5.32497970100997E-2</v>
      </c>
      <c r="K28" s="3">
        <v>0.117044738567939</v>
      </c>
      <c r="L28" s="3">
        <v>-4.1971044776437198E-3</v>
      </c>
      <c r="M28" s="3">
        <v>-0.11145961622105099</v>
      </c>
    </row>
    <row r="29" spans="3:13" x14ac:dyDescent="0.35">
      <c r="C29" s="5">
        <v>42917</v>
      </c>
      <c r="D29" s="3">
        <v>9.7733788458713E-2</v>
      </c>
      <c r="E29" s="3">
        <v>-7.2953716708525603E-3</v>
      </c>
      <c r="F29" s="3">
        <v>2.1695896568269601E-2</v>
      </c>
      <c r="G29" s="3">
        <v>1.0248641343583101E-2</v>
      </c>
      <c r="H29" s="3">
        <v>4.3959274573619901E-2</v>
      </c>
      <c r="I29" s="3">
        <v>1.5943514574686402E-2</v>
      </c>
      <c r="J29" s="3">
        <v>2.8075428296377401E-2</v>
      </c>
      <c r="K29" s="3">
        <v>4.1759236752525901E-2</v>
      </c>
      <c r="L29" s="3">
        <v>1.17439472265445E-2</v>
      </c>
      <c r="M29" s="3">
        <v>9.5543404493722103E-2</v>
      </c>
    </row>
    <row r="30" spans="3:13" x14ac:dyDescent="0.35">
      <c r="C30" s="5">
        <v>42948</v>
      </c>
      <c r="D30" s="3">
        <v>-5.8215624627558499E-2</v>
      </c>
      <c r="E30" s="3">
        <v>-1.9826082598787299E-2</v>
      </c>
      <c r="F30" s="3">
        <v>-3.85404441201984E-2</v>
      </c>
      <c r="G30" s="3">
        <v>1.9161153882901402E-2</v>
      </c>
      <c r="H30" s="3">
        <v>5.7574291069560198E-2</v>
      </c>
      <c r="I30" s="3">
        <v>-6.4172410414883698E-3</v>
      </c>
      <c r="J30" s="3">
        <v>1.5623748457470801E-3</v>
      </c>
      <c r="K30" s="3">
        <v>5.4481233842160699E-2</v>
      </c>
      <c r="L30" s="3">
        <v>-4.0134974561336502E-2</v>
      </c>
      <c r="M30" s="3">
        <v>-4.2474243580438498E-2</v>
      </c>
    </row>
    <row r="31" spans="3:13" x14ac:dyDescent="0.35">
      <c r="C31" s="5">
        <v>42979</v>
      </c>
      <c r="D31" s="3">
        <v>9.2403826862617E-2</v>
      </c>
      <c r="E31" s="3">
        <v>0.139515428899914</v>
      </c>
      <c r="F31" s="3">
        <v>8.8521274191226004E-2</v>
      </c>
      <c r="G31" s="3">
        <v>5.9137335217938701E-2</v>
      </c>
      <c r="H31" s="3">
        <v>5.2224849028451897E-2</v>
      </c>
      <c r="I31" s="3">
        <v>5.2387128904113602E-2</v>
      </c>
      <c r="J31" s="3">
        <v>0.110341647346547</v>
      </c>
      <c r="K31" s="3">
        <v>0.145700533197414</v>
      </c>
      <c r="L31" s="3">
        <v>5.1396876884869797E-2</v>
      </c>
      <c r="M31" s="3">
        <v>-2.8457386155799399E-2</v>
      </c>
    </row>
    <row r="32" spans="3:13" x14ac:dyDescent="0.35">
      <c r="C32" s="5">
        <v>43009</v>
      </c>
      <c r="D32" s="3">
        <v>1.6486694273470898E-2</v>
      </c>
      <c r="E32" s="3">
        <v>6.2657704762992497E-2</v>
      </c>
      <c r="F32" s="3">
        <v>5.1797214980176497E-2</v>
      </c>
      <c r="G32" s="3">
        <v>3.02535047413616E-3</v>
      </c>
      <c r="H32" s="3">
        <v>1.29114462282304E-2</v>
      </c>
      <c r="I32" s="3">
        <v>-1.6124221048304601E-2</v>
      </c>
      <c r="J32" s="3">
        <v>1.1831582141672899E-2</v>
      </c>
      <c r="K32" s="3">
        <v>-2.9939605430337399E-2</v>
      </c>
      <c r="L32" s="3">
        <v>-3.2882087971477597E-2</v>
      </c>
      <c r="M32" s="3">
        <v>-7.0862581126892393E-2</v>
      </c>
    </row>
    <row r="33" spans="3:13" x14ac:dyDescent="0.35">
      <c r="C33" s="5">
        <v>43040</v>
      </c>
      <c r="D33" s="3">
        <v>-1.17749127442462E-2</v>
      </c>
      <c r="E33" s="3">
        <v>-6.2057465740648103E-3</v>
      </c>
      <c r="F33" s="3">
        <v>-7.8718189960700097E-2</v>
      </c>
      <c r="G33" s="3">
        <v>1.64916356162392E-2</v>
      </c>
      <c r="H33" s="3">
        <v>5.8978376324069597E-3</v>
      </c>
      <c r="I33" s="3">
        <v>-4.0714386462942301E-3</v>
      </c>
      <c r="J33" s="3">
        <v>2.1155070027565399E-2</v>
      </c>
      <c r="K33" s="3">
        <v>-3.5888524196502299E-2</v>
      </c>
      <c r="L33" s="3">
        <v>-3.6957176178002801E-2</v>
      </c>
      <c r="M33" s="3">
        <v>8.0621197675147405E-3</v>
      </c>
    </row>
    <row r="34" spans="3:13" x14ac:dyDescent="0.35">
      <c r="C34" s="5">
        <v>43070</v>
      </c>
      <c r="D34" s="3">
        <v>-1.06932833590306E-2</v>
      </c>
      <c r="E34" s="3">
        <v>0.21562650651693999</v>
      </c>
      <c r="F34" s="3">
        <v>-2.85303654236959E-2</v>
      </c>
      <c r="G34" s="3">
        <v>0.115371184669626</v>
      </c>
      <c r="H34" s="3">
        <v>0.110237237298511</v>
      </c>
      <c r="I34" s="3">
        <v>5.7425450725866703E-2</v>
      </c>
      <c r="J34" s="3">
        <v>0.104998069774963</v>
      </c>
      <c r="K34" s="3">
        <v>0.23924035361033699</v>
      </c>
      <c r="L34" s="3">
        <v>8.7240783381036302E-2</v>
      </c>
      <c r="M34" s="3">
        <v>0.12925453535140399</v>
      </c>
    </row>
    <row r="35" spans="3:13" x14ac:dyDescent="0.35">
      <c r="C35" s="5">
        <v>43101</v>
      </c>
      <c r="D35" s="3">
        <v>6.1892423223562101E-2</v>
      </c>
      <c r="E35" s="3">
        <v>4.15536912832076E-2</v>
      </c>
      <c r="F35" s="3">
        <v>-6.3496972956528603E-3</v>
      </c>
      <c r="G35" s="3">
        <v>-6.8526491865198894E-2</v>
      </c>
      <c r="H35" s="3">
        <v>4.0793754989783902E-2</v>
      </c>
      <c r="I35" s="3">
        <v>-4.6940573205648699E-2</v>
      </c>
      <c r="J35" s="3">
        <v>-1.3137015989482199E-2</v>
      </c>
      <c r="K35" s="3">
        <v>-1.5580357151573E-2</v>
      </c>
      <c r="L35" s="3">
        <v>-1.4106996388005701E-2</v>
      </c>
      <c r="M35" s="3">
        <v>-3.2266872532058802E-2</v>
      </c>
    </row>
    <row r="36" spans="3:13" x14ac:dyDescent="0.35">
      <c r="C36" s="5">
        <v>43132</v>
      </c>
      <c r="D36" s="3">
        <v>-5.57351704187595E-2</v>
      </c>
      <c r="E36" s="3">
        <v>-4.4003463575544098E-2</v>
      </c>
      <c r="F36" s="3">
        <v>-4.4852101328651001E-2</v>
      </c>
      <c r="G36" s="3">
        <v>-6.2400583450782698E-2</v>
      </c>
      <c r="H36" s="3">
        <v>-3.41957976768846E-3</v>
      </c>
      <c r="I36" s="3">
        <v>-0.109718837821455</v>
      </c>
      <c r="J36" s="3">
        <v>-2.23365079032448E-2</v>
      </c>
      <c r="K36" s="3">
        <v>-4.3347805907272802E-2</v>
      </c>
      <c r="L36" s="3">
        <v>-0.10214284108492599</v>
      </c>
      <c r="M36" s="3">
        <v>-0.25392059352816299</v>
      </c>
    </row>
    <row r="37" spans="3:13" x14ac:dyDescent="0.35">
      <c r="C37" s="5">
        <v>43160</v>
      </c>
      <c r="D37" s="3">
        <v>-1.51340139714177E-2</v>
      </c>
      <c r="E37" s="3">
        <v>7.8880219222014297E-2</v>
      </c>
      <c r="F37" s="3">
        <v>-1.2246623577314699E-2</v>
      </c>
      <c r="G37" s="3">
        <v>-1.8057357510750799E-2</v>
      </c>
      <c r="H37" s="3">
        <v>1.7599604945117999E-2</v>
      </c>
      <c r="I37" s="3">
        <v>7.3634071180976701E-2</v>
      </c>
      <c r="J37" s="3">
        <v>2.43528975275135E-2</v>
      </c>
      <c r="K37" s="3">
        <v>-2.9312709010464399E-2</v>
      </c>
      <c r="L37" s="3">
        <v>-1.7497877423867901E-3</v>
      </c>
      <c r="M37" s="3">
        <v>9.9254492098358904E-2</v>
      </c>
    </row>
    <row r="38" spans="3:13" x14ac:dyDescent="0.35">
      <c r="C38" s="5">
        <v>43191</v>
      </c>
      <c r="D38" s="3">
        <v>0.122893326942728</v>
      </c>
      <c r="E38" s="3">
        <v>3.9739250633896897E-2</v>
      </c>
      <c r="F38" s="3">
        <v>9.41522964156635E-2</v>
      </c>
      <c r="G38" s="3">
        <v>7.6900592525035699E-2</v>
      </c>
      <c r="H38" s="3">
        <v>6.5779381421138997E-2</v>
      </c>
      <c r="I38" s="3">
        <v>0.108854336708207</v>
      </c>
      <c r="J38" s="3">
        <v>5.53274857194372E-2</v>
      </c>
      <c r="K38" s="3">
        <v>0.114526744818526</v>
      </c>
      <c r="L38" s="3">
        <v>2.6862789016205701E-2</v>
      </c>
      <c r="M38" s="3">
        <v>-3.1698040488453698E-2</v>
      </c>
    </row>
    <row r="39" spans="3:13" x14ac:dyDescent="0.35">
      <c r="C39" s="5">
        <v>43221</v>
      </c>
      <c r="D39" s="3">
        <v>-5.6140715921043499E-3</v>
      </c>
      <c r="E39" s="3">
        <v>4.2163738276824597E-2</v>
      </c>
      <c r="F39" s="3">
        <v>-3.8127738263435601E-2</v>
      </c>
      <c r="G39" s="3">
        <v>2.61905120863564E-2</v>
      </c>
      <c r="H39" s="3">
        <v>3.3108880226847701E-2</v>
      </c>
      <c r="I39" s="3">
        <v>1.31572067393912E-2</v>
      </c>
      <c r="J39" s="3">
        <v>1.9951972329537299E-3</v>
      </c>
      <c r="K39" s="3">
        <v>-6.1926193002175799E-2</v>
      </c>
      <c r="L39" s="3">
        <v>-5.8620181221281403E-2</v>
      </c>
      <c r="M39" s="3">
        <v>0.186043155340962</v>
      </c>
    </row>
    <row r="40" spans="3:13" x14ac:dyDescent="0.35">
      <c r="C40" s="5">
        <v>43252</v>
      </c>
      <c r="D40" s="3">
        <v>2.7598933955241999E-2</v>
      </c>
      <c r="E40" s="3">
        <v>4.4663529768886497E-2</v>
      </c>
      <c r="F40" s="3">
        <v>-7.6617264156724096E-2</v>
      </c>
      <c r="G40" s="3">
        <v>8.3250620564016095E-2</v>
      </c>
      <c r="H40" s="3">
        <v>7.5022159461772802E-3</v>
      </c>
      <c r="I40" s="3">
        <v>-0.118645394214362</v>
      </c>
      <c r="J40" s="3">
        <v>7.3020812246652703E-2</v>
      </c>
      <c r="K40" s="3">
        <v>3.3048295123564699E-2</v>
      </c>
      <c r="L40" s="3">
        <v>7.8959778701396102E-2</v>
      </c>
      <c r="M40" s="3">
        <v>-0.140021343309188</v>
      </c>
    </row>
    <row r="41" spans="3:13" x14ac:dyDescent="0.35">
      <c r="C41" s="5">
        <v>43282</v>
      </c>
      <c r="D41" s="3">
        <v>0.17917229167823501</v>
      </c>
      <c r="E41" s="3">
        <v>0.124307945841537</v>
      </c>
      <c r="F41" s="3">
        <v>-1.24323714669316E-2</v>
      </c>
      <c r="G41" s="3">
        <v>3.7253702341891099E-3</v>
      </c>
      <c r="H41" s="3">
        <v>8.6230705660022999E-2</v>
      </c>
      <c r="I41" s="3">
        <v>1.8087829657419799E-2</v>
      </c>
      <c r="J41" s="3">
        <v>5.7247990969831797E-2</v>
      </c>
      <c r="K41" s="3">
        <v>0.13652859675020601</v>
      </c>
      <c r="L41" s="3">
        <v>2.2614346028435098E-2</v>
      </c>
      <c r="M41" s="3">
        <v>1.17375462473275E-2</v>
      </c>
    </row>
    <row r="42" spans="3:13" x14ac:dyDescent="0.35">
      <c r="C42" s="5">
        <v>43313</v>
      </c>
      <c r="D42" s="3">
        <v>-4.8364483323923404E-3</v>
      </c>
      <c r="E42" s="3">
        <v>-4.8360160091312897E-3</v>
      </c>
      <c r="F42" s="3">
        <v>0.119086381589299</v>
      </c>
      <c r="G42" s="3">
        <v>-2.0272397229486799E-2</v>
      </c>
      <c r="H42" s="3">
        <v>3.21817490584521E-2</v>
      </c>
      <c r="I42" s="3">
        <v>-6.6281049555221003E-2</v>
      </c>
      <c r="J42" s="3">
        <v>2.1837858878802598E-2</v>
      </c>
      <c r="K42" s="3">
        <v>1.7576027510472899E-3</v>
      </c>
      <c r="L42" s="3">
        <v>5.9534378852926603E-2</v>
      </c>
      <c r="M42" s="3">
        <v>-0.13043938533942501</v>
      </c>
    </row>
    <row r="43" spans="3:13" x14ac:dyDescent="0.35">
      <c r="C43" s="5">
        <v>43344</v>
      </c>
      <c r="D43" s="3">
        <v>-3.09517645170004E-2</v>
      </c>
      <c r="E43" s="3">
        <v>-0.225886951536901</v>
      </c>
      <c r="F43" s="3">
        <v>-9.1448172803661201E-2</v>
      </c>
      <c r="G43" s="3">
        <v>-0.10149455166714801</v>
      </c>
      <c r="H43" s="3">
        <v>-0.118822181792262</v>
      </c>
      <c r="I43" s="3">
        <v>-8.0169562026350602E-2</v>
      </c>
      <c r="J43" s="3">
        <v>-6.83869269814147E-2</v>
      </c>
      <c r="K43" s="3">
        <v>-0.28737371179608001</v>
      </c>
      <c r="L43" s="3">
        <v>-5.4196773385076003E-2</v>
      </c>
      <c r="M43" s="3">
        <v>0.24217069895625401</v>
      </c>
    </row>
    <row r="44" spans="3:13" x14ac:dyDescent="0.35">
      <c r="C44" s="5">
        <v>43374</v>
      </c>
      <c r="D44" s="3">
        <v>-0.20339584506422201</v>
      </c>
      <c r="E44" s="3">
        <v>5.6070010445170397E-2</v>
      </c>
      <c r="F44" s="3">
        <v>6.0421742587442699E-2</v>
      </c>
      <c r="G44" s="3">
        <v>1.73348264307128E-2</v>
      </c>
      <c r="H44" s="3">
        <v>1.82114464764596E-2</v>
      </c>
      <c r="I44" s="3">
        <v>-7.6507875900474101E-2</v>
      </c>
      <c r="J44" s="3">
        <v>3.7486950917847303E-2</v>
      </c>
      <c r="K44" s="3">
        <v>-0.25466744291769799</v>
      </c>
      <c r="L44" s="3">
        <v>2.3792103468087901E-3</v>
      </c>
      <c r="M44" s="3">
        <v>3.8271466137699203E-2</v>
      </c>
    </row>
    <row r="45" spans="3:13" x14ac:dyDescent="0.35">
      <c r="C45" s="5">
        <v>43405</v>
      </c>
      <c r="D45" s="3">
        <v>-0.120604964984684</v>
      </c>
      <c r="E45" s="3">
        <v>-0.11805153581831999</v>
      </c>
      <c r="F45" s="3">
        <v>6.8647609800091006E-2</v>
      </c>
      <c r="G45" s="3">
        <v>-6.0065966533792703E-2</v>
      </c>
      <c r="H45" s="3">
        <v>-6.3759855904096802E-2</v>
      </c>
      <c r="I45" s="3">
        <v>-7.0106204207381395E-2</v>
      </c>
      <c r="J45" s="3">
        <v>-8.3479470469348893E-2</v>
      </c>
      <c r="K45" s="3">
        <v>-0.201283322001648</v>
      </c>
      <c r="L45" s="3">
        <v>-7.6920209064053696E-2</v>
      </c>
      <c r="M45" s="3">
        <v>-5.1761641656713202E-2</v>
      </c>
    </row>
    <row r="46" spans="3:13" x14ac:dyDescent="0.35">
      <c r="C46" s="5">
        <v>43435</v>
      </c>
      <c r="D46" s="3">
        <v>5.3686691526799502E-2</v>
      </c>
      <c r="E46" s="3">
        <v>0.134808066227774</v>
      </c>
      <c r="F46" s="3">
        <v>6.3966002106507505E-2</v>
      </c>
      <c r="G46" s="3">
        <v>7.4595188259400896E-2</v>
      </c>
      <c r="H46" s="3">
        <v>0.11258090641320501</v>
      </c>
      <c r="I46" s="3">
        <v>0.24025183667742001</v>
      </c>
      <c r="J46" s="3">
        <v>2.7768691355375501E-2</v>
      </c>
      <c r="K46" s="3">
        <v>7.3974446687684506E-2</v>
      </c>
      <c r="L46" s="3">
        <v>0.10662219653951401</v>
      </c>
      <c r="M46" s="3">
        <v>-8.0628967142371402E-2</v>
      </c>
    </row>
    <row r="47" spans="3:13" x14ac:dyDescent="0.35">
      <c r="C47" s="5">
        <v>43466</v>
      </c>
      <c r="D47" s="3">
        <v>3.9523241907047799E-2</v>
      </c>
      <c r="E47" s="3">
        <v>-4.6993068074800602E-2</v>
      </c>
      <c r="F47" s="3">
        <v>2.61598277030974E-2</v>
      </c>
      <c r="G47" s="3">
        <v>5.8596047918637098E-4</v>
      </c>
      <c r="H47" s="3">
        <v>6.4330684974531704E-2</v>
      </c>
      <c r="I47" s="3">
        <v>-3.1940335015758402E-2</v>
      </c>
      <c r="J47" s="3">
        <v>7.0249855924021998E-2</v>
      </c>
      <c r="K47" s="3">
        <v>7.0563688072468905E-2</v>
      </c>
      <c r="L47" s="3">
        <v>4.1079598993222603E-2</v>
      </c>
      <c r="M47" s="3">
        <v>4.1032877110005903E-2</v>
      </c>
    </row>
    <row r="48" spans="3:13" x14ac:dyDescent="0.35">
      <c r="C48" s="5">
        <v>43497</v>
      </c>
      <c r="D48" s="3">
        <v>9.6882216086837697E-2</v>
      </c>
      <c r="E48" s="3">
        <v>8.2442045949721807E-2</v>
      </c>
      <c r="F48" s="3">
        <v>8.8066864128059197E-2</v>
      </c>
      <c r="G48" s="3">
        <v>4.3715694139592302E-2</v>
      </c>
      <c r="H48" s="3">
        <v>4.64210368485444E-2</v>
      </c>
      <c r="I48" s="3">
        <v>3.1940335015758298E-2</v>
      </c>
      <c r="J48" s="3">
        <v>5.5671142654978301E-2</v>
      </c>
      <c r="K48" s="3">
        <v>0.15290006570534501</v>
      </c>
      <c r="L48" s="3">
        <v>2.9858755922704299E-2</v>
      </c>
      <c r="M48" s="3">
        <v>-0.133656469688269</v>
      </c>
    </row>
    <row r="49" spans="3:13" x14ac:dyDescent="0.35">
      <c r="C49" s="5">
        <v>43525</v>
      </c>
      <c r="D49" s="3">
        <v>5.4900730871336602E-2</v>
      </c>
      <c r="E49" s="3">
        <v>7.8680642674754303E-2</v>
      </c>
      <c r="F49" s="3">
        <v>6.60556280080494E-2</v>
      </c>
      <c r="G49" s="3">
        <v>1.8578958540515399E-2</v>
      </c>
      <c r="H49" s="3">
        <v>7.6780233631683306E-2</v>
      </c>
      <c r="I49" s="3">
        <v>0.14862452620036601</v>
      </c>
      <c r="J49" s="3">
        <v>0.101962840417027</v>
      </c>
      <c r="K49" s="3">
        <v>7.9875579936051402E-3</v>
      </c>
      <c r="L49" s="3">
        <v>2.9715741008111599E-2</v>
      </c>
      <c r="M49" s="3">
        <v>-0.15912345111314399</v>
      </c>
    </row>
    <row r="50" spans="3:13" x14ac:dyDescent="0.35">
      <c r="C50" s="5">
        <v>43556</v>
      </c>
      <c r="D50" s="3">
        <v>-0.13647557690053899</v>
      </c>
      <c r="E50" s="3">
        <v>-8.1875407781586002E-2</v>
      </c>
      <c r="F50" s="3">
        <v>-0.23530928837642001</v>
      </c>
      <c r="G50" s="3">
        <v>-8.0252583923120693E-2</v>
      </c>
      <c r="H50" s="3">
        <v>-9.4800585005463799E-3</v>
      </c>
      <c r="I50" s="3">
        <v>-8.5958470994510705E-2</v>
      </c>
      <c r="J50" s="3">
        <v>-5.4441662254266901E-2</v>
      </c>
      <c r="K50" s="3">
        <v>-0.28982086330677698</v>
      </c>
      <c r="L50" s="3">
        <v>-8.4895256714480602E-2</v>
      </c>
      <c r="M50" s="3">
        <v>-0.25394553219057803</v>
      </c>
    </row>
    <row r="51" spans="3:13" x14ac:dyDescent="0.35">
      <c r="C51" s="5">
        <v>43586</v>
      </c>
      <c r="D51" s="3">
        <v>0.12652041618976201</v>
      </c>
      <c r="E51" s="3">
        <v>6.4655763161683102E-2</v>
      </c>
      <c r="F51" s="3">
        <v>0.13447490069401399</v>
      </c>
      <c r="G51" s="3">
        <v>-2.1651548116706401E-2</v>
      </c>
      <c r="H51" s="3">
        <v>5.0551353041731001E-2</v>
      </c>
      <c r="I51" s="3">
        <v>8.38883329621503E-2</v>
      </c>
      <c r="J51" s="3">
        <v>8.3539112692113907E-2</v>
      </c>
      <c r="K51" s="3">
        <v>0.19373274887098799</v>
      </c>
      <c r="L51" s="3">
        <v>0.118573181053494</v>
      </c>
      <c r="M51" s="3">
        <v>0.188011887202405</v>
      </c>
    </row>
    <row r="52" spans="3:13" x14ac:dyDescent="0.35">
      <c r="C52" s="5">
        <v>43617</v>
      </c>
      <c r="D52" s="3">
        <v>7.3617040929151903E-2</v>
      </c>
      <c r="E52" s="3">
        <v>-1.4280600415507E-2</v>
      </c>
      <c r="F52" s="3">
        <v>1.6914122452677999E-2</v>
      </c>
      <c r="G52" s="3">
        <v>0.117823971138154</v>
      </c>
      <c r="H52" s="3">
        <v>2.88394314838743E-2</v>
      </c>
      <c r="I52" s="3">
        <v>6.35250412623553E-3</v>
      </c>
      <c r="J52" s="3">
        <v>1.7096281231259398E-2</v>
      </c>
      <c r="K52" s="3">
        <v>2.69721179425251E-2</v>
      </c>
      <c r="L52" s="3">
        <v>-1.1830220270149299E-2</v>
      </c>
      <c r="M52" s="3">
        <v>7.8092445621991094E-2</v>
      </c>
    </row>
    <row r="53" spans="3:13" x14ac:dyDescent="0.35">
      <c r="C53" s="5">
        <v>43647</v>
      </c>
      <c r="D53" s="3">
        <v>-2.0390494006762901E-2</v>
      </c>
      <c r="E53" s="3">
        <v>-4.9688101987485397E-2</v>
      </c>
      <c r="F53" s="3">
        <v>-2.5672573916940999E-2</v>
      </c>
      <c r="G53" s="3">
        <v>-2.29757207840331E-2</v>
      </c>
      <c r="H53" s="3">
        <v>3.4089746084157102E-2</v>
      </c>
      <c r="I53" s="3">
        <v>-4.5071845470198997E-2</v>
      </c>
      <c r="J53" s="3">
        <v>1.16007070370034E-2</v>
      </c>
      <c r="K53" s="3">
        <v>-7.1974420615403996E-3</v>
      </c>
      <c r="L53" s="3">
        <v>-7.4257907761598102E-2</v>
      </c>
      <c r="M53" s="3">
        <v>-6.8516582483448704E-2</v>
      </c>
    </row>
    <row r="54" spans="3:13" x14ac:dyDescent="0.35">
      <c r="C54" s="5">
        <v>43678</v>
      </c>
      <c r="D54" s="3">
        <v>7.4215011573286901E-2</v>
      </c>
      <c r="E54" s="3">
        <v>-2.2995147951910301E-2</v>
      </c>
      <c r="F54" s="3">
        <v>-2.3519757440959198E-2</v>
      </c>
      <c r="G54" s="3">
        <v>2.5386324507895901E-2</v>
      </c>
      <c r="H54" s="3">
        <v>-3.54504748154389E-2</v>
      </c>
      <c r="I54" s="3">
        <v>-4.1738039076140002E-2</v>
      </c>
      <c r="J54" s="3">
        <v>1.17757507079613E-2</v>
      </c>
      <c r="K54" s="3">
        <v>3.9403995975320898E-2</v>
      </c>
      <c r="L54" s="3">
        <v>5.54817697920158E-2</v>
      </c>
      <c r="M54" s="3">
        <v>6.5449302360684997E-2</v>
      </c>
    </row>
    <row r="55" spans="3:13" x14ac:dyDescent="0.35">
      <c r="C55" s="5">
        <v>43709</v>
      </c>
      <c r="D55" s="3">
        <v>0.10497657270293</v>
      </c>
      <c r="E55" s="3">
        <v>2.32034255811128E-2</v>
      </c>
      <c r="F55" s="3">
        <v>6.8165658535259605E-2</v>
      </c>
      <c r="G55" s="3">
        <v>3.03740091854258E-2</v>
      </c>
      <c r="H55" s="3">
        <v>1.91112169107246E-2</v>
      </c>
      <c r="I55" s="3">
        <v>7.3438133633552102E-2</v>
      </c>
      <c r="J55" s="3">
        <v>3.0738505376627898E-2</v>
      </c>
      <c r="K55" s="3">
        <v>0.143947183799705</v>
      </c>
      <c r="L55" s="3">
        <v>-9.8613600117231307E-3</v>
      </c>
      <c r="M55" s="3">
        <v>0.26806142822203299</v>
      </c>
    </row>
    <row r="56" spans="3:13" x14ac:dyDescent="0.35">
      <c r="C56" s="5">
        <v>43739</v>
      </c>
      <c r="D56" s="3">
        <v>7.1695903692009594E-2</v>
      </c>
      <c r="E56" s="3">
        <v>1.34958134529978E-2</v>
      </c>
      <c r="F56" s="3">
        <v>7.6746422298928696E-2</v>
      </c>
      <c r="G56" s="3">
        <v>3.53464620797855E-2</v>
      </c>
      <c r="H56" s="3">
        <v>5.5422913571593201E-2</v>
      </c>
      <c r="I56" s="3">
        <v>5.0813170662581501E-2</v>
      </c>
      <c r="J56" s="3">
        <v>5.4364954039391102E-2</v>
      </c>
      <c r="K56" s="3">
        <v>7.5293758625276305E-2</v>
      </c>
      <c r="L56" s="3">
        <v>3.4281564708094903E-2</v>
      </c>
      <c r="M56" s="3">
        <v>4.6592022661043203E-2</v>
      </c>
    </row>
    <row r="57" spans="3:13" x14ac:dyDescent="0.35">
      <c r="C57" s="5">
        <v>43770</v>
      </c>
      <c r="D57" s="3">
        <v>9.7201509256680099E-2</v>
      </c>
      <c r="E57" s="3">
        <v>2.5786378774254701E-2</v>
      </c>
      <c r="F57" s="3">
        <v>-6.0130843854899697E-4</v>
      </c>
      <c r="G57" s="3">
        <v>2.6708810331697801E-2</v>
      </c>
      <c r="H57" s="3">
        <v>2.15302716215796E-2</v>
      </c>
      <c r="I57" s="3">
        <v>1.7744415209189499E-2</v>
      </c>
      <c r="J57" s="3">
        <v>4.4297606407669297E-2</v>
      </c>
      <c r="K57" s="3">
        <v>8.2900429972445899E-2</v>
      </c>
      <c r="L57" s="3">
        <v>-5.79343521378754E-2</v>
      </c>
      <c r="M57" s="3">
        <v>0.237359894513618</v>
      </c>
    </row>
    <row r="58" spans="3:13" x14ac:dyDescent="0.35">
      <c r="C58" s="5">
        <v>43800</v>
      </c>
      <c r="D58" s="3">
        <v>5.2601822107934598E-2</v>
      </c>
      <c r="E58" s="3">
        <v>8.3480313912563095E-2</v>
      </c>
      <c r="F58" s="3">
        <v>-2.4890776951886101E-2</v>
      </c>
      <c r="G58" s="3">
        <v>6.7402410879819297E-2</v>
      </c>
      <c r="H58" s="3">
        <v>5.6480985793271703E-2</v>
      </c>
      <c r="I58" s="3">
        <v>-1.6406518967088401E-2</v>
      </c>
      <c r="J58" s="3">
        <v>7.6456193378193593E-2</v>
      </c>
      <c r="K58" s="3">
        <v>4.7908962919687003E-3</v>
      </c>
      <c r="L58" s="3">
        <v>-1.00539800252864E-2</v>
      </c>
      <c r="M58" s="3">
        <v>0.44157811057711999</v>
      </c>
    </row>
    <row r="59" spans="3:13" x14ac:dyDescent="0.35">
      <c r="C59" s="5">
        <v>43831</v>
      </c>
      <c r="D59" s="3">
        <v>-0.124200592733943</v>
      </c>
      <c r="E59" s="3">
        <v>-6.4233232338635302E-2</v>
      </c>
      <c r="F59" s="3">
        <v>-0.112757471396268</v>
      </c>
      <c r="G59" s="3">
        <v>-6.7506910710271303E-2</v>
      </c>
      <c r="H59" s="3">
        <v>-8.3476206652453006E-2</v>
      </c>
      <c r="I59" s="3">
        <v>-4.78819587579579E-2</v>
      </c>
      <c r="J59" s="3">
        <v>-4.9492121750487797E-2</v>
      </c>
      <c r="K59" s="3">
        <v>0.13302906096159101</v>
      </c>
      <c r="L59" s="3">
        <v>-5.4254705569968302E-2</v>
      </c>
      <c r="M59" s="3">
        <v>2.6424453377614E-2</v>
      </c>
    </row>
    <row r="60" spans="3:13" x14ac:dyDescent="0.35">
      <c r="C60" s="5">
        <v>43862</v>
      </c>
      <c r="D60" s="3">
        <v>-6.9943878651627794E-2</v>
      </c>
      <c r="E60" s="3">
        <v>3.4421301563503398E-2</v>
      </c>
      <c r="F60" s="3">
        <v>-0.13959690403007</v>
      </c>
      <c r="G60" s="3">
        <v>-0.142010038041785</v>
      </c>
      <c r="H60" s="3">
        <v>-0.183624787089681</v>
      </c>
      <c r="I60" s="3">
        <v>-0.143144716614066</v>
      </c>
      <c r="J60" s="3">
        <v>-2.41728869711537E-2</v>
      </c>
      <c r="K60" s="3">
        <v>-2.3650386369060999E-2</v>
      </c>
      <c r="L60" s="3">
        <v>-2.31117701931342E-2</v>
      </c>
      <c r="M60" s="3">
        <v>-0.24278168931494001</v>
      </c>
    </row>
    <row r="61" spans="3:13" x14ac:dyDescent="0.35">
      <c r="C61" s="5">
        <v>43891</v>
      </c>
      <c r="D61" s="3">
        <v>0.144423703193757</v>
      </c>
      <c r="E61" s="3">
        <v>0.238150501448225</v>
      </c>
      <c r="F61" s="3">
        <v>0.152777225756833</v>
      </c>
      <c r="G61" s="3">
        <v>0.14755746177627899</v>
      </c>
      <c r="H61" s="3">
        <v>0.129543706899825</v>
      </c>
      <c r="I61" s="3">
        <v>0.204799238365166</v>
      </c>
      <c r="J61" s="3">
        <v>0.12780031963906499</v>
      </c>
      <c r="K61" s="3">
        <v>0.103279550235126</v>
      </c>
      <c r="L61" s="3">
        <v>9.1673331734743499E-2</v>
      </c>
      <c r="M61" s="3">
        <v>0.40020962323519699</v>
      </c>
    </row>
    <row r="62" spans="3:13" x14ac:dyDescent="0.35">
      <c r="C62" s="5">
        <v>43922</v>
      </c>
      <c r="D62" s="3">
        <v>7.8963612445737297E-2</v>
      </c>
      <c r="E62" s="3">
        <v>-1.2867394607529401E-2</v>
      </c>
      <c r="F62" s="3">
        <v>6.9846446587114905E-2</v>
      </c>
      <c r="G62" s="3">
        <v>6.24760209934953E-2</v>
      </c>
      <c r="H62" s="3">
        <v>9.1628077678683501E-2</v>
      </c>
      <c r="I62" s="3">
        <v>9.4905811006968599E-2</v>
      </c>
      <c r="J62" s="3">
        <v>2.22937262588861E-2</v>
      </c>
      <c r="K62" s="3">
        <v>0.19446164670489799</v>
      </c>
      <c r="L62" s="3">
        <v>1.9729270262266299E-2</v>
      </c>
      <c r="M62" s="3">
        <v>6.5730572594706105E-2</v>
      </c>
    </row>
    <row r="63" spans="3:13" x14ac:dyDescent="0.35">
      <c r="C63" s="5">
        <v>43952</v>
      </c>
      <c r="D63" s="3">
        <v>0.14019009787133699</v>
      </c>
      <c r="E63" s="3">
        <v>0.121834172714735</v>
      </c>
      <c r="F63" s="3">
        <v>8.0256827264784794E-2</v>
      </c>
      <c r="G63" s="3">
        <v>-1.08505289000896E-2</v>
      </c>
      <c r="H63" s="3">
        <v>-1.7399265147601501E-2</v>
      </c>
      <c r="I63" s="3">
        <v>8.75815613492569E-3</v>
      </c>
      <c r="J63" s="3">
        <v>0.10764459300423999</v>
      </c>
      <c r="K63" s="3">
        <v>6.7760169275131898E-2</v>
      </c>
      <c r="L63" s="3">
        <v>2.75145767331758E-2</v>
      </c>
      <c r="M63" s="3">
        <v>0.25710868659334601</v>
      </c>
    </row>
    <row r="64" spans="3:13" x14ac:dyDescent="0.35">
      <c r="C64" s="5">
        <v>43983</v>
      </c>
      <c r="D64" s="3">
        <v>0.15283328484268399</v>
      </c>
      <c r="E64" s="3">
        <v>0.137248892561915</v>
      </c>
      <c r="F64" s="3">
        <v>1.3855038414940001E-2</v>
      </c>
      <c r="G64" s="3">
        <v>4.8116789349666803E-2</v>
      </c>
      <c r="H64" s="3">
        <v>4.2473684163896998E-2</v>
      </c>
      <c r="I64" s="3">
        <v>0.110775756355993</v>
      </c>
      <c r="J64" s="3">
        <v>7.3432588116892896E-3</v>
      </c>
      <c r="K64" s="3">
        <v>0.111645934384239</v>
      </c>
      <c r="L64" s="3">
        <v>3.25119081665511E-3</v>
      </c>
      <c r="M64" s="3">
        <v>0.28142057928160202</v>
      </c>
    </row>
    <row r="65" spans="3:13" x14ac:dyDescent="0.35">
      <c r="C65" s="5">
        <v>44013</v>
      </c>
      <c r="D65" s="3">
        <v>0.19423417677218699</v>
      </c>
      <c r="E65" s="3">
        <v>8.6600508566040804E-2</v>
      </c>
      <c r="F65" s="3">
        <v>9.1644371395194199E-2</v>
      </c>
      <c r="G65" s="3">
        <v>9.0892295057873204E-2</v>
      </c>
      <c r="H65" s="3">
        <v>0.15057913752024199</v>
      </c>
      <c r="I65" s="3">
        <v>0.144820742064946</v>
      </c>
      <c r="J65" s="3">
        <v>9.5394690130199605E-2</v>
      </c>
      <c r="K65" s="3">
        <v>0.23110550934125201</v>
      </c>
      <c r="L65" s="3">
        <v>3.56406982836657E-2</v>
      </c>
      <c r="M65" s="3">
        <v>0.55471950344819498</v>
      </c>
    </row>
    <row r="66" spans="3:13" x14ac:dyDescent="0.35">
      <c r="C66" s="5">
        <v>44044</v>
      </c>
      <c r="D66" s="3">
        <v>-0.106370565490244</v>
      </c>
      <c r="E66" s="3">
        <v>-9.1653256267823405E-2</v>
      </c>
      <c r="F66" s="3">
        <v>4.8275553507772899E-2</v>
      </c>
      <c r="G66" s="3">
        <v>-0.10602697814315901</v>
      </c>
      <c r="H66" s="3">
        <v>-5.7515002510393903E-2</v>
      </c>
      <c r="I66" s="3">
        <v>-0.11289210790981</v>
      </c>
      <c r="J66" s="3">
        <v>-6.7360689508122795E-2</v>
      </c>
      <c r="K66" s="3">
        <v>1.15965812111568E-2</v>
      </c>
      <c r="L66" s="3">
        <v>4.2428522692901503E-2</v>
      </c>
      <c r="M66" s="3">
        <v>-0.14976264603531</v>
      </c>
    </row>
    <row r="67" spans="3:13" x14ac:dyDescent="0.35">
      <c r="C67" s="5">
        <v>44075</v>
      </c>
      <c r="D67" s="3">
        <v>-6.188745387492E-2</v>
      </c>
      <c r="E67" s="3">
        <v>-3.6408931510118002E-2</v>
      </c>
      <c r="F67" s="3">
        <v>-3.2081465850851101E-2</v>
      </c>
      <c r="G67" s="3">
        <v>9.7757422471977606E-2</v>
      </c>
      <c r="H67" s="3">
        <v>-0.15836842750215299</v>
      </c>
      <c r="I67" s="3">
        <v>4.6091129526474404E-3</v>
      </c>
      <c r="J67" s="3">
        <v>-3.8086154811212601E-2</v>
      </c>
      <c r="K67" s="3">
        <v>-7.6202872552745896E-2</v>
      </c>
      <c r="L67" s="3">
        <v>-6.2018299215212798E-2</v>
      </c>
      <c r="M67" s="3">
        <v>-0.100371310786385</v>
      </c>
    </row>
    <row r="68" spans="3:13" x14ac:dyDescent="0.35">
      <c r="C68" s="5">
        <v>44105</v>
      </c>
      <c r="D68" s="3">
        <v>8.9480935871332198E-2</v>
      </c>
      <c r="E68" s="3">
        <v>4.2522834707578297E-2</v>
      </c>
      <c r="F68" s="3">
        <v>0.13853124811317899</v>
      </c>
      <c r="G68" s="3">
        <v>8.2104808530992598E-2</v>
      </c>
      <c r="H68" s="3">
        <v>0.15461168356274399</v>
      </c>
      <c r="I68" s="3">
        <v>5.1337079631452398E-2</v>
      </c>
      <c r="J68" s="3">
        <v>5.5710967336991601E-2</v>
      </c>
      <c r="K68" s="3">
        <v>6.6922469687881E-2</v>
      </c>
      <c r="L68" s="3">
        <v>3.2331157417114398E-2</v>
      </c>
      <c r="M68" s="3">
        <v>0.38030826048744698</v>
      </c>
    </row>
    <row r="69" spans="3:13" x14ac:dyDescent="0.35">
      <c r="C69" s="5">
        <v>44136</v>
      </c>
      <c r="D69" s="3">
        <v>0.110195353205386</v>
      </c>
      <c r="E69" s="3">
        <v>2.7671933757331998E-2</v>
      </c>
      <c r="F69" s="3">
        <v>8.6469641104843703E-2</v>
      </c>
      <c r="G69" s="3">
        <v>-1.00349774095532E-3</v>
      </c>
      <c r="H69" s="3">
        <v>5.8939717402266299E-2</v>
      </c>
      <c r="I69" s="3">
        <v>-1.3851286473141799E-2</v>
      </c>
      <c r="J69" s="3">
        <v>4.0879423675771E-2</v>
      </c>
      <c r="K69" s="3">
        <v>-2.61957753466956E-2</v>
      </c>
      <c r="L69" s="3">
        <v>0.11400258924071199</v>
      </c>
      <c r="M69" s="3">
        <v>0.217730619125968</v>
      </c>
    </row>
    <row r="70" spans="3:13" x14ac:dyDescent="0.35">
      <c r="C70" s="5">
        <v>44166</v>
      </c>
      <c r="D70" s="3">
        <v>-5.5166637953627503E-3</v>
      </c>
      <c r="E70" s="3">
        <v>-1.5698598618990901E-2</v>
      </c>
      <c r="F70" s="3">
        <v>3.6966629641604999E-2</v>
      </c>
      <c r="G70" s="3">
        <v>4.1748863215721903E-2</v>
      </c>
      <c r="H70" s="3">
        <v>-0.120908384248783</v>
      </c>
      <c r="I70" s="3">
        <v>-5.58197133511475E-2</v>
      </c>
      <c r="J70" s="3">
        <v>4.1997263060384198E-2</v>
      </c>
      <c r="K70" s="3">
        <v>-4.7155749199687203E-3</v>
      </c>
      <c r="L70" s="3">
        <v>-6.8120852039201096E-2</v>
      </c>
      <c r="M70" s="3">
        <v>0.117343782023299</v>
      </c>
    </row>
    <row r="71" spans="3:13" x14ac:dyDescent="0.35">
      <c r="C71" s="5">
        <v>44197</v>
      </c>
      <c r="D71" s="3">
        <v>-8.4561528241633904E-2</v>
      </c>
      <c r="E71" s="3">
        <v>-3.5967573575716401E-2</v>
      </c>
      <c r="F71" s="3">
        <v>4.2097648104560598E-2</v>
      </c>
      <c r="G71" s="3">
        <v>0.10117022946559</v>
      </c>
      <c r="H71" s="3">
        <v>0.11348062161920799</v>
      </c>
      <c r="I71" s="3">
        <v>-2.7524014092933798E-3</v>
      </c>
      <c r="J71" s="3">
        <v>1.8091945866774599E-3</v>
      </c>
      <c r="K71" s="3">
        <v>5.42932580973658E-2</v>
      </c>
      <c r="L71" s="3">
        <v>6.9153807139363893E-2</v>
      </c>
      <c r="M71" s="3">
        <v>-0.16103804099642199</v>
      </c>
    </row>
    <row r="72" spans="3:13" x14ac:dyDescent="0.35">
      <c r="C72" s="5">
        <v>44228</v>
      </c>
      <c r="D72" s="3">
        <v>8.8054105487271293E-3</v>
      </c>
      <c r="E72" s="3">
        <v>3.7174661532602998E-4</v>
      </c>
      <c r="F72" s="3">
        <v>-1.33044136285232E-2</v>
      </c>
      <c r="G72" s="3">
        <v>1.98860132502644E-2</v>
      </c>
      <c r="H72" s="3">
        <v>6.1978113625538699E-3</v>
      </c>
      <c r="I72" s="3">
        <v>0.13389503692622301</v>
      </c>
      <c r="J72" s="3">
        <v>1.6783527558111199E-2</v>
      </c>
      <c r="K72" s="3">
        <v>-2.7068136054658E-2</v>
      </c>
      <c r="L72" s="3">
        <v>8.4100588802992302E-2</v>
      </c>
      <c r="M72" s="3">
        <v>-1.1270077528446901E-2</v>
      </c>
    </row>
    <row r="73" spans="3:13" x14ac:dyDescent="0.35">
      <c r="C73" s="5">
        <v>44256</v>
      </c>
      <c r="D73" s="3">
        <v>7.34529774602663E-2</v>
      </c>
      <c r="E73" s="3">
        <v>0.113920193250583</v>
      </c>
      <c r="F73" s="3">
        <v>-8.43392273993635E-3</v>
      </c>
      <c r="G73" s="3">
        <v>0.13197469319383701</v>
      </c>
      <c r="H73" s="3">
        <v>7.0506760632270293E-2</v>
      </c>
      <c r="I73" s="3">
        <v>9.8690382758579304E-2</v>
      </c>
      <c r="J73" s="3">
        <v>6.7286131566296495E-2</v>
      </c>
      <c r="K73" s="3">
        <v>0.117643130754759</v>
      </c>
      <c r="L73" s="3">
        <v>7.7045781460902393E-2</v>
      </c>
      <c r="M73" s="3">
        <v>6.0292698517660899E-2</v>
      </c>
    </row>
    <row r="74" spans="3:13" x14ac:dyDescent="0.35">
      <c r="C74" s="5">
        <v>44287</v>
      </c>
      <c r="D74" s="3">
        <v>-5.35138780464057E-2</v>
      </c>
      <c r="E74" s="3">
        <v>-7.3076480070740399E-2</v>
      </c>
      <c r="F74" s="3">
        <v>3.47466411078916E-2</v>
      </c>
      <c r="G74" s="3">
        <v>1.4228049609312601E-3</v>
      </c>
      <c r="H74" s="3">
        <v>-5.6677503556045297E-2</v>
      </c>
      <c r="I74" s="3">
        <v>1.1165634963294599E-2</v>
      </c>
      <c r="J74" s="3">
        <v>-9.9631258055516599E-3</v>
      </c>
      <c r="K74" s="3">
        <v>7.9071026935706196E-2</v>
      </c>
      <c r="L74" s="3">
        <v>4.2502194609303601E-2</v>
      </c>
      <c r="M74" s="3">
        <v>-0.12637217868532399</v>
      </c>
    </row>
    <row r="75" spans="3:13" x14ac:dyDescent="0.35">
      <c r="C75" s="5">
        <v>44317</v>
      </c>
      <c r="D75" s="3">
        <v>9.6197264707480801E-2</v>
      </c>
      <c r="E75" s="3">
        <v>6.5183660438693794E-2</v>
      </c>
      <c r="F75" s="3">
        <v>9.5029545407167397E-3</v>
      </c>
      <c r="G75" s="3">
        <v>3.5405322527576999E-2</v>
      </c>
      <c r="H75" s="3">
        <v>1.24298878662458E-2</v>
      </c>
      <c r="I75" s="3">
        <v>5.6132021483949801E-2</v>
      </c>
      <c r="J75" s="3">
        <v>8.3875860560516699E-2</v>
      </c>
      <c r="K75" s="3">
        <v>0.20810268205799501</v>
      </c>
      <c r="L75" s="3">
        <v>-1.1496127323293699E-2</v>
      </c>
      <c r="M75" s="3">
        <v>8.3547923733689994E-2</v>
      </c>
    </row>
    <row r="76" spans="3:13" x14ac:dyDescent="0.35">
      <c r="C76" s="5">
        <v>44348</v>
      </c>
      <c r="D76" s="3">
        <v>6.2958103352188002E-2</v>
      </c>
      <c r="E76" s="3">
        <v>-3.3269663677392099E-2</v>
      </c>
      <c r="F76" s="3">
        <v>2.55897154784854E-2</v>
      </c>
      <c r="G76" s="3">
        <v>9.8492131939855204E-2</v>
      </c>
      <c r="H76" s="3">
        <v>5.5538042894364002E-2</v>
      </c>
      <c r="I76" s="3">
        <v>2.4404077199958799E-2</v>
      </c>
      <c r="J76" s="3">
        <v>5.0423954815644399E-2</v>
      </c>
      <c r="K76" s="3">
        <v>-2.5264868166827398E-2</v>
      </c>
      <c r="L76" s="3">
        <v>0.112860550201899</v>
      </c>
      <c r="M76" s="3">
        <v>1.09738447117665E-2</v>
      </c>
    </row>
    <row r="77" spans="3:13" x14ac:dyDescent="0.35">
      <c r="C77" s="5">
        <v>44378</v>
      </c>
      <c r="D77" s="3">
        <v>4.0114686269190999E-2</v>
      </c>
      <c r="E77" s="3">
        <v>4.2133915498725999E-2</v>
      </c>
      <c r="F77" s="3">
        <v>2.40390141050662E-2</v>
      </c>
      <c r="G77" s="3">
        <v>7.1398580298323702E-2</v>
      </c>
      <c r="H77" s="3">
        <v>-0.107400895960525</v>
      </c>
      <c r="I77" s="3">
        <v>6.2765306857205105E-2</v>
      </c>
      <c r="J77" s="3">
        <v>5.7856251778716401E-2</v>
      </c>
      <c r="K77" s="3">
        <v>0.13802790779042101</v>
      </c>
      <c r="L77" s="3">
        <v>2.6262040632314701E-2</v>
      </c>
      <c r="M77" s="3">
        <v>6.8224095374517596E-2</v>
      </c>
    </row>
    <row r="78" spans="3:13" x14ac:dyDescent="0.35">
      <c r="C78" s="5">
        <v>44409</v>
      </c>
      <c r="D78" s="3">
        <v>-6.8965054179666002E-2</v>
      </c>
      <c r="E78" s="3">
        <v>-5.5003405330353701E-2</v>
      </c>
      <c r="F78" s="3">
        <v>-2.5007806701301202E-2</v>
      </c>
      <c r="G78" s="3">
        <v>-7.9226386894090006E-2</v>
      </c>
      <c r="H78" s="3">
        <v>4.17908674946702E-3</v>
      </c>
      <c r="I78" s="3">
        <v>-0.111388223863021</v>
      </c>
      <c r="J78" s="3">
        <v>-6.6493567831703501E-2</v>
      </c>
      <c r="K78" s="3">
        <v>-7.7308267391856103E-2</v>
      </c>
      <c r="L78" s="3">
        <v>-2.2694728325321101E-2</v>
      </c>
      <c r="M78" s="3">
        <v>5.2632451956010698E-2</v>
      </c>
    </row>
    <row r="79" spans="3:13" x14ac:dyDescent="0.35">
      <c r="C79" s="5">
        <v>44440</v>
      </c>
      <c r="D79" s="3">
        <v>5.7001470138717002E-2</v>
      </c>
      <c r="E79" s="3">
        <v>2.62547243461595E-2</v>
      </c>
      <c r="F79" s="3">
        <v>9.9320429971675506E-2</v>
      </c>
      <c r="G79" s="3">
        <v>0.10210432347288401</v>
      </c>
      <c r="H79" s="3">
        <v>-3.5601216467986301E-2</v>
      </c>
      <c r="I79" s="3">
        <v>-4.7734188256524902E-2</v>
      </c>
      <c r="J79" s="3">
        <v>0.16236607270455999</v>
      </c>
      <c r="K79" s="3">
        <v>0.21039577698307099</v>
      </c>
      <c r="L79" s="3">
        <v>9.6321806436104399E-2</v>
      </c>
      <c r="M79" s="3">
        <v>0.36223026720201101</v>
      </c>
    </row>
    <row r="80" spans="3:13" x14ac:dyDescent="0.35">
      <c r="C80" s="5">
        <v>44470</v>
      </c>
      <c r="D80" s="3">
        <v>9.8460955607378095E-2</v>
      </c>
      <c r="E80" s="3">
        <v>3.9147378269960099E-2</v>
      </c>
      <c r="F80" s="3">
        <v>4.0563924813394998E-2</v>
      </c>
      <c r="G80" s="3">
        <v>-4.2418188091024801E-2</v>
      </c>
      <c r="H80" s="3">
        <v>-6.2100155196028302E-2</v>
      </c>
      <c r="I80" s="3">
        <v>2.7463314136459199E-3</v>
      </c>
      <c r="J80" s="3">
        <v>-3.1106350284684E-3</v>
      </c>
      <c r="K80" s="3">
        <v>0.24533870252736201</v>
      </c>
      <c r="L80" s="3">
        <v>-5.2251911469623401E-2</v>
      </c>
      <c r="M80" s="3">
        <v>2.7238043664758099E-2</v>
      </c>
    </row>
    <row r="81" spans="3:13" x14ac:dyDescent="0.35">
      <c r="C81" s="5">
        <v>44501</v>
      </c>
      <c r="D81" s="3">
        <v>7.3061758985275602E-2</v>
      </c>
      <c r="E81" s="3">
        <v>-5.0506172305566401E-2</v>
      </c>
      <c r="F81" s="3">
        <v>0.18381658583107499</v>
      </c>
      <c r="G81" s="3">
        <v>2.06078322498701E-2</v>
      </c>
      <c r="H81" s="3">
        <v>0.13189484961998299</v>
      </c>
      <c r="I81" s="3">
        <v>3.5990175831318499E-2</v>
      </c>
      <c r="J81" s="3">
        <v>1.9012102531187399E-2</v>
      </c>
      <c r="K81" s="3">
        <v>-0.105272102643271</v>
      </c>
      <c r="L81" s="3">
        <v>-3.9679423272616303E-2</v>
      </c>
      <c r="M81" s="3">
        <v>-7.9968546413117403E-2</v>
      </c>
    </row>
    <row r="82" spans="3:13" x14ac:dyDescent="0.35">
      <c r="C82" s="5">
        <v>44531</v>
      </c>
      <c r="D82" s="3">
        <v>-1.5837294933547501E-2</v>
      </c>
      <c r="E82" s="3">
        <v>-0.10850985334929</v>
      </c>
      <c r="F82" s="3">
        <v>-0.120911900825606</v>
      </c>
      <c r="G82" s="3">
        <v>-6.8192164233039504E-2</v>
      </c>
      <c r="H82" s="3">
        <v>7.2608056606908E-2</v>
      </c>
      <c r="I82" s="3">
        <v>-7.1118675641461002E-2</v>
      </c>
      <c r="J82" s="3">
        <v>-7.8334669673591997E-2</v>
      </c>
      <c r="K82" s="3">
        <v>-0.183144866861673</v>
      </c>
      <c r="L82" s="3">
        <v>-7.1896429224056702E-2</v>
      </c>
      <c r="M82" s="3">
        <v>-0.12059741643179001</v>
      </c>
    </row>
    <row r="83" spans="3:13" x14ac:dyDescent="0.35">
      <c r="C83" s="5">
        <v>44562</v>
      </c>
      <c r="D83" s="3">
        <v>-5.6855613677537602E-2</v>
      </c>
      <c r="E83" s="3">
        <v>2.6322995467381701E-2</v>
      </c>
      <c r="F83" s="3">
        <v>2.65925926523671E-3</v>
      </c>
      <c r="G83" s="3">
        <v>-1.8234057890591799E-3</v>
      </c>
      <c r="H83" s="3">
        <v>-6.7130806204904803E-2</v>
      </c>
      <c r="I83" s="3">
        <v>-0.39503344607035801</v>
      </c>
      <c r="J83" s="3">
        <v>-3.9987577775616102E-2</v>
      </c>
      <c r="K83" s="3">
        <v>-4.1333224621533703E-3</v>
      </c>
      <c r="L83" s="3">
        <v>-6.2376295699695897E-2</v>
      </c>
      <c r="M83" s="3">
        <v>-7.3397184006749397E-2</v>
      </c>
    </row>
    <row r="84" spans="3:13" x14ac:dyDescent="0.35">
      <c r="C84" s="5">
        <v>44593</v>
      </c>
      <c r="D84" s="3">
        <v>5.7156114524264397E-2</v>
      </c>
      <c r="E84" s="3">
        <v>5.9623956986477003E-2</v>
      </c>
      <c r="F84" s="3">
        <v>6.9437527484066203E-2</v>
      </c>
      <c r="G84" s="3">
        <v>2.9262303250881701E-2</v>
      </c>
      <c r="H84" s="3">
        <v>-9.5796486753798298E-3</v>
      </c>
      <c r="I84" s="3">
        <v>5.2297476849600698E-2</v>
      </c>
      <c r="J84" s="3">
        <v>3.3430312534926197E-2</v>
      </c>
      <c r="K84" s="3">
        <v>0.112405468435102</v>
      </c>
      <c r="L84" s="3">
        <v>8.5244004014917496E-2</v>
      </c>
      <c r="M84" s="3">
        <v>0.213504397562434</v>
      </c>
    </row>
    <row r="85" spans="3:13" x14ac:dyDescent="0.35">
      <c r="C85" s="5">
        <v>44621</v>
      </c>
      <c r="D85" s="3">
        <v>-0.102178032129795</v>
      </c>
      <c r="E85" s="3">
        <v>-0.27118570929338198</v>
      </c>
      <c r="F85" s="3">
        <v>-0.120604058279734</v>
      </c>
      <c r="G85" s="3">
        <v>-0.197800560810103</v>
      </c>
      <c r="H85" s="3">
        <v>1.6649495676854802E-2</v>
      </c>
      <c r="I85" s="3">
        <v>-0.103633181138389</v>
      </c>
      <c r="J85" s="3">
        <v>-0.10521257226363701</v>
      </c>
      <c r="K85" s="3">
        <v>-0.38589506101342902</v>
      </c>
      <c r="L85" s="3">
        <v>-0.11965823131332</v>
      </c>
      <c r="M85" s="3">
        <v>-0.21312534640563199</v>
      </c>
    </row>
    <row r="86" spans="3:13" x14ac:dyDescent="0.35">
      <c r="C86" s="5">
        <v>44652</v>
      </c>
      <c r="D86" s="3">
        <v>-5.7505126562052998E-2</v>
      </c>
      <c r="E86" s="3">
        <v>-3.3313100052673697E-2</v>
      </c>
      <c r="F86" s="3">
        <v>4.5384062012898699E-2</v>
      </c>
      <c r="G86" s="3">
        <v>-3.0497918789332301E-3</v>
      </c>
      <c r="H86" s="3">
        <v>-1.3892153854590099E-2</v>
      </c>
      <c r="I86" s="3">
        <v>-3.46635748796493E-2</v>
      </c>
      <c r="J86" s="3">
        <v>-2.0568986921288699E-2</v>
      </c>
      <c r="K86" s="3">
        <v>6.71720941177843E-3</v>
      </c>
      <c r="L86" s="3">
        <v>-1.6465328514610501E-2</v>
      </c>
      <c r="M86" s="3">
        <v>-0.138340075827244</v>
      </c>
    </row>
    <row r="87" spans="3:13" x14ac:dyDescent="0.35">
      <c r="C87" s="5">
        <v>44682</v>
      </c>
      <c r="D87" s="3">
        <v>-8.3468444785490495E-2</v>
      </c>
      <c r="E87" s="3">
        <v>-0.123817787586326</v>
      </c>
      <c r="F87" s="3">
        <v>-0.17743479482594199</v>
      </c>
      <c r="G87" s="3">
        <v>-4.31008204993341E-2</v>
      </c>
      <c r="H87" s="3">
        <v>-0.126074882958497</v>
      </c>
      <c r="I87" s="3">
        <v>-0.18304510971973301</v>
      </c>
      <c r="J87" s="3">
        <v>-5.4583395275360401E-2</v>
      </c>
      <c r="K87" s="3">
        <v>-0.208431188443918</v>
      </c>
      <c r="L87" s="3">
        <v>-2.8917889233590802E-2</v>
      </c>
      <c r="M87" s="3">
        <v>-0.118657145043391</v>
      </c>
    </row>
    <row r="88" spans="3:13" x14ac:dyDescent="0.35">
      <c r="C88" s="5">
        <v>44713</v>
      </c>
      <c r="D88" s="3">
        <v>0.17280443117840499</v>
      </c>
      <c r="E88" s="3">
        <v>0.239486073130565</v>
      </c>
      <c r="F88" s="3">
        <v>0.10560215586070699</v>
      </c>
      <c r="G88" s="3">
        <v>6.5336601353735493E-2</v>
      </c>
      <c r="H88" s="3">
        <v>0.114608663623096</v>
      </c>
      <c r="I88" s="3">
        <v>-1.3422851689388501E-2</v>
      </c>
      <c r="J88" s="3">
        <v>8.9014844876514496E-2</v>
      </c>
      <c r="K88" s="3">
        <v>0.18100392958390099</v>
      </c>
      <c r="L88" s="3">
        <v>0.10801874932826599</v>
      </c>
      <c r="M88" s="3">
        <v>0.28048029266089097</v>
      </c>
    </row>
    <row r="89" spans="3:13" x14ac:dyDescent="0.35">
      <c r="C89" s="5">
        <v>44743</v>
      </c>
      <c r="D89" s="3">
        <v>-3.3093631986848497E-2</v>
      </c>
      <c r="E89" s="3">
        <v>-6.2529918513378302E-2</v>
      </c>
      <c r="F89" s="3">
        <v>-7.0336943095026097E-2</v>
      </c>
      <c r="G89" s="3">
        <v>-7.2178687191277305E-2</v>
      </c>
      <c r="H89" s="3">
        <v>-8.5287674235194594E-2</v>
      </c>
      <c r="I89" s="3">
        <v>2.3787517090643199E-2</v>
      </c>
      <c r="J89" s="3">
        <v>-7.11096233449829E-2</v>
      </c>
      <c r="K89" s="3">
        <v>-0.185089416512386</v>
      </c>
      <c r="L89" s="3">
        <v>-4.4102667888266597E-2</v>
      </c>
      <c r="M89" s="3">
        <v>-7.5250238861184801E-2</v>
      </c>
    </row>
    <row r="90" spans="3:13" x14ac:dyDescent="0.35">
      <c r="C90" s="5">
        <v>44774</v>
      </c>
      <c r="D90" s="3">
        <v>-0.12755585168144701</v>
      </c>
      <c r="E90" s="3">
        <v>-0.114986602238295</v>
      </c>
      <c r="F90" s="3">
        <v>-0.116979265867102</v>
      </c>
      <c r="G90" s="3">
        <v>-0.123470429871368</v>
      </c>
      <c r="H90" s="3">
        <v>-0.13171390676681999</v>
      </c>
      <c r="I90" s="3">
        <v>-0.183021232195612</v>
      </c>
      <c r="J90" s="3">
        <v>-0.11358977363667901</v>
      </c>
      <c r="K90" s="3">
        <v>-0.217874111487982</v>
      </c>
      <c r="L90" s="3">
        <v>-0.194069347610281</v>
      </c>
      <c r="M90" s="3">
        <v>-3.8314045457392303E-2</v>
      </c>
    </row>
    <row r="91" spans="3:13" x14ac:dyDescent="0.35">
      <c r="C91" s="5">
        <v>44805</v>
      </c>
      <c r="D91" s="3">
        <v>0.103954922401856</v>
      </c>
      <c r="E91" s="3">
        <v>-9.8110557381016206E-2</v>
      </c>
      <c r="F91" s="3">
        <v>6.5490892291273195E-2</v>
      </c>
      <c r="G91" s="3">
        <v>-1.19899280995302E-2</v>
      </c>
      <c r="H91" s="3">
        <v>0.14339138286779499</v>
      </c>
      <c r="I91" s="3">
        <v>-0.375980689009558</v>
      </c>
      <c r="J91" s="3">
        <v>-3.3120129644825698E-3</v>
      </c>
      <c r="K91" s="3">
        <v>0.106340990759617</v>
      </c>
      <c r="L91" s="3">
        <v>0.24558507176347399</v>
      </c>
      <c r="M91" s="3">
        <v>-0.153346730382522</v>
      </c>
    </row>
    <row r="92" spans="3:13" x14ac:dyDescent="0.35">
      <c r="C92" s="5">
        <v>44835</v>
      </c>
      <c r="D92" s="3">
        <v>-3.5242178309030099E-2</v>
      </c>
      <c r="E92" s="3">
        <v>-5.93198310989776E-2</v>
      </c>
      <c r="F92" s="3">
        <v>0.158801198068732</v>
      </c>
      <c r="G92" s="3">
        <v>6.6315418215635899E-2</v>
      </c>
      <c r="H92" s="3">
        <v>8.4103702779913206E-2</v>
      </c>
      <c r="I92" s="3">
        <v>0.23721314485123601</v>
      </c>
      <c r="J92" s="3">
        <v>9.4514905409019898E-2</v>
      </c>
      <c r="K92" s="3">
        <v>0.226206329956011</v>
      </c>
      <c r="L92" s="3">
        <v>6.6723472675251902E-2</v>
      </c>
      <c r="M92" s="3">
        <v>-0.15586613473341701</v>
      </c>
    </row>
    <row r="93" spans="3:13" x14ac:dyDescent="0.35">
      <c r="C93" s="5">
        <v>44866</v>
      </c>
      <c r="D93" s="3">
        <v>-0.12876210972506599</v>
      </c>
      <c r="E93" s="3">
        <v>-0.13914063138903299</v>
      </c>
      <c r="F93" s="3">
        <v>1.4592705926184399E-2</v>
      </c>
      <c r="G93" s="3">
        <v>-0.13507409946561799</v>
      </c>
      <c r="H93" s="3">
        <v>-2.4627335741839299E-2</v>
      </c>
      <c r="I93" s="3">
        <v>1.8789551472721801E-2</v>
      </c>
      <c r="J93" s="3">
        <v>-5.9109584498144997E-2</v>
      </c>
      <c r="K93" s="3">
        <v>-0.146437553609604</v>
      </c>
      <c r="L93" s="3">
        <v>-1.5658492124200799E-2</v>
      </c>
      <c r="M93" s="3">
        <v>-0.45781321211925702</v>
      </c>
    </row>
    <row r="94" spans="3:13" x14ac:dyDescent="0.35">
      <c r="C94" s="5">
        <v>44896</v>
      </c>
      <c r="D94" s="3">
        <v>0.104829400499102</v>
      </c>
      <c r="E94" s="3">
        <v>0.205173529484664</v>
      </c>
      <c r="F94" s="3">
        <v>5.3556273671407001E-2</v>
      </c>
      <c r="G94" s="3">
        <v>0.113555203746088</v>
      </c>
      <c r="H94" s="3">
        <v>6.3696822543363896E-2</v>
      </c>
      <c r="I94" s="3">
        <v>0.21342326907138701</v>
      </c>
      <c r="J94" s="3">
        <v>3.2773546457340298E-2</v>
      </c>
      <c r="K94" s="3">
        <v>0.29033006818835599</v>
      </c>
      <c r="L94" s="3">
        <v>7.9006922596324705E-2</v>
      </c>
      <c r="M94" s="3">
        <v>0.34091576264400097</v>
      </c>
    </row>
    <row r="95" spans="3:13" x14ac:dyDescent="0.35">
      <c r="C95" s="5">
        <v>44927</v>
      </c>
      <c r="D95" s="3">
        <v>2.1393283574072702E-2</v>
      </c>
      <c r="E95" s="3">
        <v>-9.0251726109312605E-2</v>
      </c>
      <c r="F95" s="3">
        <v>1.5738470108691199E-2</v>
      </c>
      <c r="G95" s="3">
        <v>-9.3026072209416999E-2</v>
      </c>
      <c r="H95" s="3">
        <v>-4.0567226968867401E-2</v>
      </c>
      <c r="I95" s="3">
        <v>0.160698280191446</v>
      </c>
      <c r="J95" s="3">
        <v>6.4761117897062697E-3</v>
      </c>
      <c r="K95" s="3">
        <v>0.172531347112901</v>
      </c>
      <c r="L95" s="3">
        <v>-8.3125520289116604E-3</v>
      </c>
      <c r="M95" s="3">
        <v>0.17190494706148399</v>
      </c>
    </row>
    <row r="96" spans="3:13" x14ac:dyDescent="0.35">
      <c r="C96" s="5">
        <v>44958</v>
      </c>
      <c r="D96" s="3">
        <v>0.113646810264009</v>
      </c>
      <c r="E96" s="3">
        <v>9.1801963799877304E-2</v>
      </c>
      <c r="F96" s="3">
        <v>7.6504017123988605E-2</v>
      </c>
      <c r="G96" s="3">
        <v>0.14131550998275</v>
      </c>
      <c r="H96" s="3">
        <v>2.25971829312679E-2</v>
      </c>
      <c r="I96" s="3">
        <v>0.191860195801521</v>
      </c>
      <c r="J96" s="3">
        <v>0.14736474026643301</v>
      </c>
      <c r="K96" s="3">
        <v>0.17936694500337</v>
      </c>
      <c r="L96" s="3">
        <v>6.12437634537083E-2</v>
      </c>
      <c r="M96" s="3">
        <v>8.4711400392992794E-3</v>
      </c>
    </row>
    <row r="97" spans="3:13" x14ac:dyDescent="0.35">
      <c r="C97" s="5">
        <v>44986</v>
      </c>
      <c r="D97" s="3">
        <v>2.8574955117446101E-2</v>
      </c>
      <c r="E97" s="3">
        <v>2.0696340906241398E-2</v>
      </c>
      <c r="F97" s="3">
        <v>-1.6550935615806901E-2</v>
      </c>
      <c r="G97" s="3">
        <v>3.4209310116949297E-2</v>
      </c>
      <c r="H97" s="3">
        <v>4.4718852210020699E-2</v>
      </c>
      <c r="I97" s="3">
        <v>0.12566853006121001</v>
      </c>
      <c r="J97" s="3">
        <v>6.36930480822053E-2</v>
      </c>
      <c r="K97" s="3">
        <v>-8.3888705846998197E-4</v>
      </c>
      <c r="L97" s="3">
        <v>1.9186195661353399E-2</v>
      </c>
      <c r="M97" s="3">
        <v>-0.23318366253994199</v>
      </c>
    </row>
    <row r="98" spans="3:13" x14ac:dyDescent="0.35">
      <c r="C98" s="5">
        <v>45017</v>
      </c>
      <c r="D98" s="3">
        <v>4.3646740654785701E-2</v>
      </c>
      <c r="E98" s="3">
        <v>0.134076526136476</v>
      </c>
      <c r="F98" s="3">
        <v>0.25436365139247002</v>
      </c>
      <c r="G98" s="3">
        <v>0.13512620371174799</v>
      </c>
      <c r="H98" s="3">
        <v>-3.8730776145965803E-2</v>
      </c>
      <c r="I98" s="3">
        <v>9.6701274793306605E-2</v>
      </c>
      <c r="J98" s="3">
        <v>6.6507591530747201E-2</v>
      </c>
      <c r="K98" s="3">
        <v>0.31000846850630498</v>
      </c>
      <c r="L98" s="3">
        <v>0.116126844760475</v>
      </c>
      <c r="M98" s="3">
        <v>0.21602191024051601</v>
      </c>
    </row>
    <row r="99" spans="3:13" x14ac:dyDescent="0.35">
      <c r="C99" s="5">
        <v>45047</v>
      </c>
      <c r="D99" s="3">
        <v>9.15250265462101E-2</v>
      </c>
      <c r="E99" s="3">
        <v>7.7986420908101303E-2</v>
      </c>
      <c r="F99" s="3">
        <v>7.1022334495610295E-2</v>
      </c>
      <c r="G99" s="3">
        <v>-2.6138382374356801E-2</v>
      </c>
      <c r="H99" s="3">
        <v>7.4620678435673493E-2</v>
      </c>
      <c r="I99" s="3">
        <v>8.0739806170775294E-2</v>
      </c>
      <c r="J99" s="3">
        <v>3.8514280197810002E-2</v>
      </c>
      <c r="K99" s="3">
        <v>0.11162599260197199</v>
      </c>
      <c r="L99" s="3">
        <v>0.117005964120276</v>
      </c>
      <c r="M99" s="3">
        <v>0.24968945791439801</v>
      </c>
    </row>
    <row r="100" spans="3:13" x14ac:dyDescent="0.35">
      <c r="C100" s="5">
        <v>45078</v>
      </c>
      <c r="D100" s="3">
        <v>1.2704269890204199E-2</v>
      </c>
      <c r="E100" s="3">
        <v>2.5149030317777401E-2</v>
      </c>
      <c r="F100" s="3">
        <v>4.0672273970770702E-2</v>
      </c>
      <c r="G100" s="3">
        <v>0.10325289755759499</v>
      </c>
      <c r="H100" s="3">
        <v>2.48864203057571E-3</v>
      </c>
      <c r="I100" s="3">
        <v>0.104523974218394</v>
      </c>
      <c r="J100" s="3">
        <v>-1.36595722846617E-2</v>
      </c>
      <c r="K100" s="3">
        <v>9.9634252317349001E-2</v>
      </c>
      <c r="L100" s="3">
        <v>-1.5741179533297098E-2</v>
      </c>
      <c r="M100" s="3">
        <v>2.1391594229644099E-2</v>
      </c>
    </row>
    <row r="101" spans="3:13" x14ac:dyDescent="0.35">
      <c r="C101" s="5">
        <v>45108</v>
      </c>
      <c r="D101" s="3">
        <v>-4.4657623149384401E-2</v>
      </c>
      <c r="E101" s="3">
        <v>3.1877262012810201E-2</v>
      </c>
      <c r="F101" s="3">
        <v>2.6616364073018602E-2</v>
      </c>
      <c r="G101" s="3">
        <v>2.5662693421771601E-2</v>
      </c>
      <c r="H101" s="3">
        <v>4.6959346024440303E-2</v>
      </c>
      <c r="I101" s="3">
        <v>-7.3948768964133396E-2</v>
      </c>
      <c r="J101" s="3">
        <v>-2.4591492348636002E-2</v>
      </c>
      <c r="K101" s="3">
        <v>5.4674179307856598E-2</v>
      </c>
      <c r="L101" s="3">
        <v>3.0102138591932E-2</v>
      </c>
      <c r="M101" s="3">
        <v>-3.5588235471399499E-2</v>
      </c>
    </row>
    <row r="102" spans="3:13" x14ac:dyDescent="0.35">
      <c r="C102" s="5">
        <v>45139</v>
      </c>
      <c r="D102" s="3">
        <v>-9.1509863423703194E-2</v>
      </c>
      <c r="E102" s="3">
        <v>-8.2194624071488004E-2</v>
      </c>
      <c r="F102" s="3">
        <v>-0.105385824298657</v>
      </c>
      <c r="G102" s="3">
        <v>-3.9776601884586003E-2</v>
      </c>
      <c r="H102" s="3">
        <v>-4.1388584008433198E-2</v>
      </c>
      <c r="I102" s="3">
        <v>1.4494695303634401E-2</v>
      </c>
      <c r="J102" s="3">
        <v>-3.52158796266933E-2</v>
      </c>
      <c r="K102" s="3">
        <v>-0.12630114911429199</v>
      </c>
      <c r="L102" s="3">
        <v>-0.128052387919421</v>
      </c>
      <c r="M102" s="3">
        <v>-3.0929083487644699E-2</v>
      </c>
    </row>
    <row r="103" spans="3:13" x14ac:dyDescent="0.35">
      <c r="C103" s="5">
        <v>45170</v>
      </c>
      <c r="D103" s="3">
        <v>-2.5730615333689299E-3</v>
      </c>
      <c r="E103" s="3">
        <v>4.5894068870004301E-2</v>
      </c>
      <c r="F103" s="3">
        <v>1.8338872400862901E-2</v>
      </c>
      <c r="G103" s="3">
        <v>-5.3201071807852697E-2</v>
      </c>
      <c r="H103" s="3">
        <v>-5.0667569234192203E-2</v>
      </c>
      <c r="I103" s="3">
        <v>3.5242899079187999E-3</v>
      </c>
      <c r="J103" s="3">
        <v>6.8420410730397105E-2</v>
      </c>
      <c r="K103" s="3">
        <v>-6.4463866729323999E-2</v>
      </c>
      <c r="L103" s="3">
        <v>-2.4079619144151201E-2</v>
      </c>
      <c r="M103" s="3">
        <v>-0.21983195972274899</v>
      </c>
    </row>
    <row r="104" spans="3:13" x14ac:dyDescent="0.35">
      <c r="C104" s="5">
        <v>45200</v>
      </c>
      <c r="D104" s="3">
        <v>0.10644292946628001</v>
      </c>
      <c r="E104" s="3">
        <v>9.3197279045957995E-2</v>
      </c>
      <c r="F104" s="3">
        <v>9.5551185136698594E-2</v>
      </c>
      <c r="G104" s="3">
        <v>6.5882358232858707E-2</v>
      </c>
      <c r="H104" s="3">
        <v>9.6384505247690794E-2</v>
      </c>
      <c r="I104" s="3">
        <v>8.2412118939688001E-2</v>
      </c>
      <c r="J104" s="3">
        <v>0.113927506994859</v>
      </c>
      <c r="K104" s="3">
        <v>0.13705016797976899</v>
      </c>
      <c r="L104" s="3">
        <v>0.120446786458488</v>
      </c>
      <c r="M104" s="3">
        <v>0.178463629965607</v>
      </c>
    </row>
    <row r="105" spans="3:13" x14ac:dyDescent="0.35">
      <c r="C105" s="5">
        <v>45231</v>
      </c>
      <c r="D105" s="3">
        <v>1.48078855584579E-2</v>
      </c>
      <c r="E105" s="3">
        <v>3.9262835930652801E-2</v>
      </c>
      <c r="F105" s="3">
        <v>0.187147583783428</v>
      </c>
      <c r="G105" s="3">
        <v>5.2616966541287502E-2</v>
      </c>
      <c r="H105" s="3">
        <v>3.0180422259170201E-2</v>
      </c>
      <c r="I105" s="3">
        <v>7.8765020029763294E-2</v>
      </c>
      <c r="J105" s="3">
        <v>-5.5756156884544496E-3</v>
      </c>
      <c r="K105" s="3">
        <v>5.7175065231845699E-2</v>
      </c>
      <c r="L105" s="3">
        <v>-9.7351841942483294E-2</v>
      </c>
      <c r="M105" s="3">
        <v>3.4390158268265199E-2</v>
      </c>
    </row>
    <row r="106" spans="3:13" x14ac:dyDescent="0.35">
      <c r="C106" s="5">
        <v>45261</v>
      </c>
      <c r="D106" s="3">
        <v>-4.3144957906549097E-2</v>
      </c>
      <c r="E106" s="3">
        <v>2.1228901674042799E-2</v>
      </c>
      <c r="F106" s="3">
        <v>6.0126842437214202E-2</v>
      </c>
      <c r="G106" s="3">
        <v>2.9301123803818401E-3</v>
      </c>
      <c r="H106" s="3">
        <v>5.1899228156258401E-2</v>
      </c>
      <c r="I106" s="3">
        <v>9.7321668426132601E-2</v>
      </c>
      <c r="J106" s="3">
        <v>5.5700700580903303E-2</v>
      </c>
      <c r="K106" s="3">
        <v>0.21714708585220999</v>
      </c>
      <c r="L106" s="3">
        <v>5.7769965221998898E-2</v>
      </c>
      <c r="M106" s="3">
        <v>-0.28270414165861502</v>
      </c>
    </row>
    <row r="107" spans="3:13" x14ac:dyDescent="0.35">
      <c r="C107" s="5">
        <v>45292</v>
      </c>
      <c r="D107" s="3">
        <v>-1.9992689868358698E-2</v>
      </c>
      <c r="E107" s="3">
        <v>0.13007827251342099</v>
      </c>
      <c r="F107" s="3">
        <v>9.7227178204067205E-2</v>
      </c>
      <c r="G107" s="3">
        <v>-1.17744994103608E-2</v>
      </c>
      <c r="H107" s="3">
        <v>5.6849523171375697E-2</v>
      </c>
      <c r="I107" s="3">
        <v>0.2281650989092</v>
      </c>
      <c r="J107" s="3">
        <v>3.9599903589437699E-2</v>
      </c>
      <c r="K107" s="3">
        <v>0.25138848615801102</v>
      </c>
      <c r="L107" s="3">
        <v>3.68791906458044E-3</v>
      </c>
      <c r="M107" s="3">
        <v>7.5015243730299302E-2</v>
      </c>
    </row>
    <row r="108" spans="3:13" x14ac:dyDescent="0.35">
      <c r="C108" s="5">
        <v>45323</v>
      </c>
      <c r="D108" s="3">
        <v>-5.1372436126996601E-2</v>
      </c>
      <c r="E108" s="3">
        <v>2.0272856475022898E-2</v>
      </c>
      <c r="F108" s="3">
        <v>1.8980548516391301E-2</v>
      </c>
      <c r="G108" s="3">
        <v>8.6234110240620193E-2</v>
      </c>
      <c r="H108" s="3">
        <v>1.4241837560920101E-2</v>
      </c>
      <c r="I108" s="3">
        <v>-8.2662160190054308E-3</v>
      </c>
      <c r="J108" s="3">
        <v>1.8819120395825999E-2</v>
      </c>
      <c r="K108" s="3">
        <v>0.132892896890317</v>
      </c>
      <c r="L108" s="3">
        <v>0.117544407176234</v>
      </c>
      <c r="M108" s="3">
        <v>-0.13838336066026199</v>
      </c>
    </row>
    <row r="109" spans="3:13" x14ac:dyDescent="0.35">
      <c r="C109" s="5">
        <v>45352</v>
      </c>
      <c r="D109" s="3">
        <v>-6.7289048227977804E-3</v>
      </c>
      <c r="E109" s="3">
        <v>-3.0279762814048001E-2</v>
      </c>
      <c r="F109" s="3">
        <v>-1.4899878856964199E-2</v>
      </c>
      <c r="G109" s="3">
        <v>7.5583905512683694E-2</v>
      </c>
      <c r="H109" s="3">
        <v>-6.5140780328364206E-2</v>
      </c>
      <c r="I109" s="3">
        <v>-0.121163495548226</v>
      </c>
      <c r="J109" s="3">
        <v>-7.7540352691296194E-2</v>
      </c>
      <c r="K109" s="3">
        <v>-4.4699830913124301E-2</v>
      </c>
      <c r="L109" s="3">
        <v>-9.9178971444972799E-2</v>
      </c>
      <c r="M109" s="3">
        <v>4.1724937333440501E-2</v>
      </c>
    </row>
    <row r="110" spans="3:13" x14ac:dyDescent="0.35">
      <c r="C110" s="5">
        <v>45383</v>
      </c>
      <c r="D110" s="3">
        <v>0.121058786363249</v>
      </c>
      <c r="E110" s="3">
        <v>8.1949013132249695E-3</v>
      </c>
      <c r="F110" s="3">
        <v>2.1516050536095399E-2</v>
      </c>
      <c r="G110" s="3">
        <v>5.79975205174868E-2</v>
      </c>
      <c r="H110" s="3">
        <v>-7.8113731298553599E-3</v>
      </c>
      <c r="I110" s="3">
        <v>8.1784588705714395E-2</v>
      </c>
      <c r="J110" s="3">
        <v>6.4164528146992902E-2</v>
      </c>
      <c r="K110" s="3">
        <v>0.23812762950743199</v>
      </c>
      <c r="L110" s="3">
        <v>3.3015574507320102E-2</v>
      </c>
      <c r="M110" s="3">
        <v>-2.8782150618005299E-2</v>
      </c>
    </row>
    <row r="111" spans="3:13" x14ac:dyDescent="0.35">
      <c r="C111" s="5">
        <v>45413</v>
      </c>
      <c r="D111" s="3">
        <v>9.2614080821329894E-2</v>
      </c>
      <c r="E111" s="3">
        <v>9.1003812230792402E-2</v>
      </c>
      <c r="F111" s="3">
        <v>0.18936557968972101</v>
      </c>
      <c r="G111" s="3">
        <v>5.4433293071800101E-2</v>
      </c>
      <c r="H111" s="3">
        <v>-1.3307433172125901E-2</v>
      </c>
      <c r="I111" s="3">
        <v>7.7047636984031095E-2</v>
      </c>
      <c r="J111" s="3">
        <v>7.5657112763677606E-2</v>
      </c>
      <c r="K111" s="3">
        <v>0.11942670510430201</v>
      </c>
      <c r="L111" s="3">
        <v>0.18638059482349001</v>
      </c>
      <c r="M111" s="3">
        <v>0.10542789883227301</v>
      </c>
    </row>
    <row r="112" spans="3:13" x14ac:dyDescent="0.35">
      <c r="C112" s="5">
        <v>45444</v>
      </c>
      <c r="D112" s="3">
        <v>5.2982467636896298E-2</v>
      </c>
      <c r="E112" s="3">
        <v>-3.2983028204361803E-2</v>
      </c>
      <c r="F112" s="3">
        <v>3.9612319091233096E-3</v>
      </c>
      <c r="G112" s="3">
        <v>-5.88670340342861E-2</v>
      </c>
      <c r="H112" s="3">
        <v>4.9851534670773003E-2</v>
      </c>
      <c r="I112" s="3">
        <v>-5.9063522860965702E-2</v>
      </c>
      <c r="J112" s="3">
        <v>-6.6128295162811698E-2</v>
      </c>
      <c r="K112" s="3">
        <v>-5.4138578147419701E-2</v>
      </c>
      <c r="L112" s="3">
        <v>-1.2471136235338499E-2</v>
      </c>
      <c r="M112" s="3">
        <v>0.159378263935159</v>
      </c>
    </row>
    <row r="113" spans="3:13" x14ac:dyDescent="0.35">
      <c r="C113" s="5">
        <v>45474</v>
      </c>
      <c r="D113" s="3">
        <v>3.0683969210240102E-2</v>
      </c>
      <c r="E113" s="3">
        <v>-4.6413058043475799E-2</v>
      </c>
      <c r="F113" s="3">
        <v>1.3230060830966501E-2</v>
      </c>
      <c r="G113" s="3">
        <v>-4.8737662183776301E-2</v>
      </c>
      <c r="H113" s="3">
        <v>4.2941192675674499E-2</v>
      </c>
      <c r="I113" s="3">
        <v>9.3387938880244506E-2</v>
      </c>
      <c r="J113" s="3">
        <v>-2.8966923351103802E-3</v>
      </c>
      <c r="K113" s="3">
        <v>1.98836861134471E-2</v>
      </c>
      <c r="L113" s="3">
        <v>1.5927339377539401E-2</v>
      </c>
      <c r="M113" s="3">
        <v>-8.0549148643581495E-2</v>
      </c>
    </row>
    <row r="114" spans="3:13" x14ac:dyDescent="0.35">
      <c r="C114" s="5">
        <v>45505</v>
      </c>
      <c r="D114" s="3">
        <v>1.8473262923187201E-2</v>
      </c>
      <c r="E114" s="3">
        <v>4.2930694019627499E-2</v>
      </c>
      <c r="F114" s="3">
        <v>5.7752199032609197E-2</v>
      </c>
      <c r="G114" s="3">
        <v>1.5005011935106999E-2</v>
      </c>
      <c r="H114" s="3">
        <v>2.1410164808637701E-2</v>
      </c>
      <c r="I114" s="3">
        <v>9.3563141858780299E-2</v>
      </c>
      <c r="J114" s="3">
        <v>3.2861651968684499E-2</v>
      </c>
      <c r="K114" s="3">
        <v>1.71921529366886E-2</v>
      </c>
      <c r="L114" s="3">
        <v>0.18733447771846401</v>
      </c>
      <c r="M114" s="3">
        <v>0.20044139025591801</v>
      </c>
    </row>
    <row r="115" spans="3:13" x14ac:dyDescent="0.35">
      <c r="C115" s="5">
        <v>45536</v>
      </c>
      <c r="D115" s="3">
        <v>-3.09015202679826E-2</v>
      </c>
      <c r="E115" s="3">
        <v>3.7560701216951997E-4</v>
      </c>
      <c r="F115" s="3">
        <v>-1.26691445325617E-2</v>
      </c>
      <c r="G115" s="3">
        <v>3.2548791882411901E-2</v>
      </c>
      <c r="H115" s="3">
        <v>1.1657227709234301E-2</v>
      </c>
      <c r="I115" s="3">
        <v>-7.5725150984857301E-3</v>
      </c>
      <c r="J115" s="3">
        <v>-5.7267694658911503E-2</v>
      </c>
      <c r="K115" s="3">
        <v>8.9208670987409894E-2</v>
      </c>
      <c r="L115" s="3">
        <v>-1.51374623856316E-2</v>
      </c>
      <c r="M115" s="3">
        <v>-4.6070554116790001E-2</v>
      </c>
    </row>
    <row r="116" spans="3:13" x14ac:dyDescent="0.35">
      <c r="C116" s="5">
        <v>45566</v>
      </c>
      <c r="D116" s="3">
        <v>4.9314895158928999E-2</v>
      </c>
      <c r="E116" s="3">
        <v>0.10911419140753199</v>
      </c>
      <c r="F116" s="3">
        <v>-4.6354474072232803E-2</v>
      </c>
      <c r="G116" s="3">
        <v>-1.2703716289766701E-2</v>
      </c>
      <c r="H116" s="3">
        <v>6.5949681456610093E-2</v>
      </c>
      <c r="I116" s="3">
        <v>1.18048937082971E-2</v>
      </c>
      <c r="J116" s="3">
        <v>4.1244188219432203E-2</v>
      </c>
      <c r="K116" s="3">
        <v>4.05204466708209E-2</v>
      </c>
      <c r="L116" s="3">
        <v>9.8725366541661502E-2</v>
      </c>
      <c r="M116" s="3">
        <v>0.32314733984989302</v>
      </c>
    </row>
    <row r="117" spans="3:13" x14ac:dyDescent="0.35">
      <c r="C117" s="5">
        <v>45597</v>
      </c>
      <c r="D117" s="3">
        <v>5.4787533346067799E-2</v>
      </c>
      <c r="E117" s="3">
        <v>5.3841874291946798E-2</v>
      </c>
      <c r="F117" s="3">
        <v>0.35795762597005198</v>
      </c>
      <c r="G117" s="3">
        <v>0.113730508701998</v>
      </c>
      <c r="H117" s="3">
        <v>-1.2024553658868099E-2</v>
      </c>
      <c r="I117" s="3">
        <v>1.9296487103522601E-2</v>
      </c>
      <c r="J117" s="3">
        <v>-2.6396642276690801E-3</v>
      </c>
      <c r="K117" s="3">
        <v>-2.9062255247423702E-2</v>
      </c>
      <c r="L117" s="3">
        <v>-0.103654443719661</v>
      </c>
      <c r="M117" s="3">
        <v>0.157010682272687</v>
      </c>
    </row>
    <row r="118" spans="3:13" x14ac:dyDescent="0.35">
      <c r="C118" s="5">
        <v>45627</v>
      </c>
      <c r="D118" s="3">
        <v>-5.93077340523087E-2</v>
      </c>
      <c r="E118" s="3">
        <v>8.00742632033829E-2</v>
      </c>
      <c r="F118" s="3">
        <v>-4.3988312940377597E-2</v>
      </c>
      <c r="G118" s="3">
        <v>7.6030048629823099E-2</v>
      </c>
      <c r="H118" s="3">
        <v>5.3358623794751002E-2</v>
      </c>
      <c r="I118" s="3">
        <v>0.16382550758638001</v>
      </c>
      <c r="J118" s="3">
        <v>-1.53969149108522E-2</v>
      </c>
      <c r="K118" s="3">
        <v>-0.111857397296231</v>
      </c>
      <c r="L118" s="3">
        <v>2.0315404748587101E-2</v>
      </c>
      <c r="M118" s="3">
        <v>1.8801648208516099E-3</v>
      </c>
    </row>
    <row r="119" spans="3:13" x14ac:dyDescent="0.35">
      <c r="C119" s="5">
        <v>45658</v>
      </c>
      <c r="D119" s="3">
        <v>2.4444370175878399E-2</v>
      </c>
      <c r="E119" s="3">
        <v>-0.113019073194658</v>
      </c>
      <c r="F119" s="3">
        <v>-0.103920246396925</v>
      </c>
      <c r="G119" s="3">
        <v>-0.180773558828449</v>
      </c>
      <c r="H119" s="3">
        <v>3.8375599098080602E-2</v>
      </c>
      <c r="I119" s="3">
        <v>-3.0914794434587001E-2</v>
      </c>
      <c r="J119" s="3">
        <v>-4.4511876139467298E-2</v>
      </c>
      <c r="K119" s="3">
        <v>3.9598260138355899E-2</v>
      </c>
      <c r="L119" s="3">
        <v>-2.1347459161905901E-2</v>
      </c>
      <c r="M119" s="3">
        <v>-0.322794577432021</v>
      </c>
    </row>
    <row r="120" spans="3:13" x14ac:dyDescent="0.35">
      <c r="C120" s="5">
        <v>45689</v>
      </c>
      <c r="D120" s="3">
        <v>-8.3914619440841803E-2</v>
      </c>
      <c r="E120" s="3">
        <v>-0.109514600181383</v>
      </c>
      <c r="F120" s="3">
        <v>-0.17489789472231501</v>
      </c>
      <c r="G120" s="3">
        <v>-9.6344435143580903E-2</v>
      </c>
      <c r="H120" s="3">
        <v>-5.0151530248652598E-2</v>
      </c>
      <c r="I120" s="3">
        <v>-0.147855262476661</v>
      </c>
      <c r="J120" s="3">
        <v>-5.3942305918274001E-2</v>
      </c>
      <c r="K120" s="3">
        <v>-0.14202997527938799</v>
      </c>
      <c r="L120" s="3">
        <v>-0.17206436574276501</v>
      </c>
      <c r="M120" s="3">
        <v>-0.122658715719867</v>
      </c>
    </row>
    <row r="121" spans="3:13" x14ac:dyDescent="0.35">
      <c r="C121" s="5">
        <v>45717</v>
      </c>
      <c r="D121" s="3">
        <v>-4.4320876874360399E-2</v>
      </c>
      <c r="E121" s="3">
        <v>-3.1175792667315801E-2</v>
      </c>
      <c r="F121" s="3">
        <v>0.142396146246175</v>
      </c>
      <c r="G121" s="3">
        <v>2.7696891217681999E-2</v>
      </c>
      <c r="H121" s="3">
        <v>-1.09205091484516E-4</v>
      </c>
      <c r="I121" s="3">
        <v>-4.7744663198005799E-2</v>
      </c>
      <c r="J121" s="3">
        <v>5.1578187367982802E-2</v>
      </c>
      <c r="K121" s="3">
        <v>5.0620854316162298E-3</v>
      </c>
      <c r="L121" s="3">
        <v>6.4873633877675996E-3</v>
      </c>
      <c r="M121" s="3">
        <v>8.5028654346039997E-2</v>
      </c>
    </row>
    <row r="122" spans="3:13" x14ac:dyDescent="0.35">
      <c r="C122" s="5">
        <v>45748</v>
      </c>
      <c r="D122" s="3">
        <v>-5.6383367673479699E-2</v>
      </c>
      <c r="E122" s="3">
        <v>0.10584299332548899</v>
      </c>
      <c r="F122" s="3">
        <v>0.22928668885353201</v>
      </c>
      <c r="G122" s="3">
        <v>7.8336109324931194E-2</v>
      </c>
      <c r="H122" s="3">
        <v>6.7836973067498404E-2</v>
      </c>
      <c r="I122" s="3">
        <v>0.16500491082838301</v>
      </c>
      <c r="J122" s="3">
        <v>0.152464880334308</v>
      </c>
      <c r="K122" s="3">
        <v>0.215623585850062</v>
      </c>
      <c r="L122" s="3">
        <v>0.165966421797407</v>
      </c>
      <c r="M122" s="3">
        <v>0.205293085922998</v>
      </c>
    </row>
    <row r="123" spans="3:13" x14ac:dyDescent="0.35">
      <c r="C123" s="5">
        <v>45778</v>
      </c>
      <c r="D123" s="3">
        <v>2.2590814570148599E-2</v>
      </c>
      <c r="E123" s="3">
        <v>6.7792209514485696E-2</v>
      </c>
      <c r="F123" s="3">
        <v>0.12990483651641599</v>
      </c>
      <c r="G123" s="3">
        <v>2.5807887672444099E-2</v>
      </c>
      <c r="H123" s="3">
        <v>-4.1241918587303798E-2</v>
      </c>
      <c r="I123" s="3">
        <v>0.13096244320498601</v>
      </c>
      <c r="J123" s="3">
        <v>7.9240193706366605E-2</v>
      </c>
      <c r="K123" s="3">
        <v>0.156294309257066</v>
      </c>
      <c r="L123" s="3">
        <v>0.27822823612945002</v>
      </c>
      <c r="M123" s="3">
        <v>-8.6785743443785701E-2</v>
      </c>
    </row>
    <row r="124" spans="3:13" x14ac:dyDescent="0.35">
      <c r="C124" s="5">
        <v>45809</v>
      </c>
      <c r="D124" s="3">
        <v>1.16298290381129E-2</v>
      </c>
      <c r="E124" s="3">
        <v>6.4940122421257407E-2</v>
      </c>
      <c r="F124" s="3">
        <v>6.5778202991614895E-2</v>
      </c>
      <c r="G124" s="3">
        <v>8.6394359386190805E-2</v>
      </c>
      <c r="H124" s="3">
        <v>8.0290141776944105E-3</v>
      </c>
      <c r="I124" s="3">
        <v>4.7551402295751097E-2</v>
      </c>
      <c r="J124" s="3">
        <v>7.00442985963321E-2</v>
      </c>
      <c r="K124" s="3">
        <v>0.1185909493591</v>
      </c>
      <c r="L124" s="3">
        <v>0.14904735480651399</v>
      </c>
      <c r="M124" s="3">
        <v>-3.00056060666785E-2</v>
      </c>
    </row>
    <row r="125" spans="3:13" x14ac:dyDescent="0.35">
      <c r="C125" s="5">
        <v>45839</v>
      </c>
      <c r="D125" s="3">
        <v>0.11187180044558701</v>
      </c>
      <c r="E125" s="3">
        <v>-2.20690868179871E-2</v>
      </c>
      <c r="F125" s="3">
        <v>1.24852701094069E-2</v>
      </c>
      <c r="G125" s="3">
        <v>0.103895027831247</v>
      </c>
      <c r="H125" s="3">
        <v>5.09766636019836E-2</v>
      </c>
      <c r="I125" s="3">
        <v>-4.5956121936437402E-2</v>
      </c>
      <c r="J125" s="3">
        <v>-5.1559697096131799E-2</v>
      </c>
      <c r="K125" s="3">
        <v>-2.0963741925078098E-2</v>
      </c>
      <c r="L125" s="3">
        <v>-0.113195399465256</v>
      </c>
      <c r="M125" s="3">
        <v>7.9775673313112902E-2</v>
      </c>
    </row>
    <row r="126" spans="3:13" x14ac:dyDescent="0.35">
      <c r="C126" s="5">
        <v>45870</v>
      </c>
      <c r="D126" s="3">
        <v>9.3605314940035905E-2</v>
      </c>
      <c r="E126" s="3">
        <v>-4.2050915272994198E-2</v>
      </c>
      <c r="F126" s="3">
        <v>0.103775563365665</v>
      </c>
      <c r="G126" s="3">
        <v>0.132603685838416</v>
      </c>
      <c r="H126" s="3">
        <v>-4.5502071748712597E-2</v>
      </c>
      <c r="I126" s="3">
        <v>-5.8652971497192303E-3</v>
      </c>
      <c r="J126" s="3">
        <v>2.3621924276929E-2</v>
      </c>
      <c r="K126" s="3">
        <v>6.8770841774635993E-2</v>
      </c>
      <c r="L126" s="3">
        <v>0.21809820314316899</v>
      </c>
      <c r="M126" s="3">
        <v>0.28669317499177099</v>
      </c>
    </row>
    <row r="127" spans="3:13" x14ac:dyDescent="0.35">
      <c r="C127" s="5">
        <v>45901</v>
      </c>
      <c r="D127" s="3">
        <v>-2.86029696769446E-2</v>
      </c>
      <c r="E127" s="3">
        <v>-2.3501219834375298E-2</v>
      </c>
      <c r="F127" s="3">
        <v>7.2612593217592294E-2</v>
      </c>
      <c r="G127" s="3">
        <v>3.4704908697475001E-2</v>
      </c>
      <c r="H127" s="3">
        <v>-3.2527150379618799E-2</v>
      </c>
      <c r="I127" s="3">
        <v>-3.01757106206402E-2</v>
      </c>
      <c r="J127" s="3">
        <v>-1.2316096469734901E-2</v>
      </c>
      <c r="K127" s="3">
        <v>-2.5841638089870399E-2</v>
      </c>
      <c r="L127" s="3">
        <v>0.10872862368549201</v>
      </c>
      <c r="M127" s="3">
        <v>-3.6570872165064397E-2</v>
      </c>
    </row>
    <row r="128" spans="3:13" x14ac:dyDescent="0.35">
      <c r="C128" s="5">
        <v>45931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B706-6D14-49E2-AB1E-87C3076EF838}">
  <dimension ref="A2:C19"/>
  <sheetViews>
    <sheetView workbookViewId="0">
      <selection activeCell="B6" sqref="B6"/>
    </sheetView>
  </sheetViews>
  <sheetFormatPr baseColWidth="10" defaultColWidth="8.6328125" defaultRowHeight="14.5" x14ac:dyDescent="0.35"/>
  <sheetData>
    <row r="2" spans="1:3" x14ac:dyDescent="0.35">
      <c r="A2" s="12"/>
      <c r="B2" s="13"/>
      <c r="C2" s="14"/>
    </row>
    <row r="3" spans="1:3" x14ac:dyDescent="0.35">
      <c r="A3" s="15"/>
      <c r="B3" s="16"/>
      <c r="C3" s="17"/>
    </row>
    <row r="4" spans="1:3" x14ac:dyDescent="0.35">
      <c r="A4" s="15"/>
      <c r="B4" s="16"/>
      <c r="C4" s="17"/>
    </row>
    <row r="5" spans="1:3" x14ac:dyDescent="0.35">
      <c r="A5" s="15"/>
      <c r="B5" s="16"/>
      <c r="C5" s="17"/>
    </row>
    <row r="6" spans="1:3" x14ac:dyDescent="0.35">
      <c r="A6" s="15"/>
      <c r="B6" s="16"/>
      <c r="C6" s="17"/>
    </row>
    <row r="7" spans="1:3" x14ac:dyDescent="0.35">
      <c r="A7" s="15"/>
      <c r="B7" s="16"/>
      <c r="C7" s="17"/>
    </row>
    <row r="8" spans="1:3" x14ac:dyDescent="0.35">
      <c r="A8" s="15"/>
      <c r="B8" s="16"/>
      <c r="C8" s="17"/>
    </row>
    <row r="9" spans="1:3" x14ac:dyDescent="0.35">
      <c r="A9" s="15"/>
      <c r="B9" s="16"/>
      <c r="C9" s="17"/>
    </row>
    <row r="10" spans="1:3" x14ac:dyDescent="0.35">
      <c r="A10" s="15"/>
      <c r="B10" s="16"/>
      <c r="C10" s="17"/>
    </row>
    <row r="11" spans="1:3" x14ac:dyDescent="0.35">
      <c r="A11" s="15"/>
      <c r="B11" s="16"/>
      <c r="C11" s="17"/>
    </row>
    <row r="12" spans="1:3" x14ac:dyDescent="0.35">
      <c r="A12" s="15"/>
      <c r="B12" s="16"/>
      <c r="C12" s="17"/>
    </row>
    <row r="13" spans="1:3" x14ac:dyDescent="0.35">
      <c r="A13" s="15"/>
      <c r="B13" s="16"/>
      <c r="C13" s="17"/>
    </row>
    <row r="14" spans="1:3" x14ac:dyDescent="0.35">
      <c r="A14" s="15"/>
      <c r="B14" s="16"/>
      <c r="C14" s="17"/>
    </row>
    <row r="15" spans="1:3" x14ac:dyDescent="0.35">
      <c r="A15" s="15"/>
      <c r="B15" s="16"/>
      <c r="C15" s="17"/>
    </row>
    <row r="16" spans="1:3" x14ac:dyDescent="0.35">
      <c r="A16" s="15"/>
      <c r="B16" s="16"/>
      <c r="C16" s="17"/>
    </row>
    <row r="17" spans="1:3" x14ac:dyDescent="0.35">
      <c r="A17" s="15"/>
      <c r="B17" s="16"/>
      <c r="C17" s="17"/>
    </row>
    <row r="18" spans="1:3" x14ac:dyDescent="0.35">
      <c r="A18" s="15"/>
      <c r="B18" s="16"/>
      <c r="C18" s="17"/>
    </row>
    <row r="19" spans="1:3" x14ac:dyDescent="0.35">
      <c r="A19" s="18"/>
      <c r="B19" s="19"/>
      <c r="C19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29F-D2F3-4A9D-9FCF-41DB74DC9C49}">
  <dimension ref="A1:P29"/>
  <sheetViews>
    <sheetView workbookViewId="0">
      <selection activeCell="H30" sqref="H30"/>
    </sheetView>
  </sheetViews>
  <sheetFormatPr baseColWidth="10" defaultColWidth="11.453125" defaultRowHeight="14.5" x14ac:dyDescent="0.35"/>
  <sheetData>
    <row r="1" spans="1:11" x14ac:dyDescent="0.35">
      <c r="A1" s="23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  <c r="J1" s="23" t="s">
        <v>125</v>
      </c>
      <c r="K1" s="23" t="s">
        <v>126</v>
      </c>
    </row>
    <row r="2" spans="1:11" ht="15" thickBot="1" x14ac:dyDescent="0.4">
      <c r="A2" t="s">
        <v>117</v>
      </c>
      <c r="B2">
        <f>VARP('Expected Return'!$B$3:$B$63)</f>
        <v>5.0127026625533958E-3</v>
      </c>
      <c r="C2">
        <v>3.4166011959045699E-3</v>
      </c>
      <c r="D2">
        <v>2.8859182525303199E-3</v>
      </c>
      <c r="E2">
        <v>2.3801412485842154E-3</v>
      </c>
      <c r="F2">
        <v>1.9422611636153151E-3</v>
      </c>
      <c r="G2">
        <v>2.0103694652037333E-3</v>
      </c>
      <c r="H2">
        <v>2.3098488196704372E-3</v>
      </c>
      <c r="I2">
        <v>5.2545309721092979E-3</v>
      </c>
      <c r="J2">
        <v>2.9820700984561155E-3</v>
      </c>
      <c r="K2" s="22">
        <v>7.104421931280666E-3</v>
      </c>
    </row>
    <row r="3" spans="1:11" ht="15" thickBot="1" x14ac:dyDescent="0.4">
      <c r="A3" t="s">
        <v>118</v>
      </c>
      <c r="B3">
        <v>3.4166011959045725E-3</v>
      </c>
      <c r="C3">
        <f>VARP('Expected Return'!$C$3:$C$63)</f>
        <v>7.474109455630192E-3</v>
      </c>
      <c r="D3">
        <v>4.4280013276161469E-3</v>
      </c>
      <c r="E3">
        <v>4.2508733699102878E-3</v>
      </c>
      <c r="F3">
        <v>1.5989340269027649E-3</v>
      </c>
      <c r="G3">
        <v>4.8671486351026952E-3</v>
      </c>
      <c r="H3">
        <v>3.5317041344260238E-3</v>
      </c>
      <c r="I3">
        <v>8.408139366259124E-3</v>
      </c>
      <c r="J3">
        <v>3.8913777727078362E-3</v>
      </c>
      <c r="K3" s="22">
        <v>8.8870295594142418E-3</v>
      </c>
    </row>
    <row r="4" spans="1:11" ht="15" thickBot="1" x14ac:dyDescent="0.4">
      <c r="A4" t="s">
        <v>119</v>
      </c>
      <c r="B4">
        <v>2.8859182525303182E-3</v>
      </c>
      <c r="C4">
        <v>4.4280013276161469E-3</v>
      </c>
      <c r="D4">
        <f>VARP('Expected Return'!$D$3:$D$63)</f>
        <v>9.6221282949086728E-3</v>
      </c>
      <c r="E4">
        <v>4.3102941631888948E-3</v>
      </c>
      <c r="F4">
        <v>1.9556877076688183E-3</v>
      </c>
      <c r="G4">
        <v>4.3341974352372348E-3</v>
      </c>
      <c r="H4">
        <v>3.5713869375076789E-3</v>
      </c>
      <c r="I4">
        <v>7.6542008523920952E-3</v>
      </c>
      <c r="J4">
        <v>4.2759542387746487E-3</v>
      </c>
      <c r="K4" s="22">
        <v>6.9652438059735686E-3</v>
      </c>
    </row>
    <row r="5" spans="1:11" ht="15" thickBot="1" x14ac:dyDescent="0.4">
      <c r="A5" t="s">
        <v>120</v>
      </c>
      <c r="B5">
        <v>2.3801412485842154E-3</v>
      </c>
      <c r="C5">
        <v>4.2508733699102878E-3</v>
      </c>
      <c r="D5">
        <v>4.3102941631888948E-3</v>
      </c>
      <c r="E5">
        <f>VARP('Expected Return'!$E$3:$E$63)</f>
        <v>6.0091084266450647E-3</v>
      </c>
      <c r="F5">
        <v>8.465263270825479E-4</v>
      </c>
      <c r="G5">
        <v>3.2294897832164712E-3</v>
      </c>
      <c r="H5">
        <v>2.7771744848461583E-3</v>
      </c>
      <c r="I5">
        <v>5.8758385532837656E-3</v>
      </c>
      <c r="J5">
        <v>3.1718374849380943E-3</v>
      </c>
      <c r="K5" s="22">
        <v>6.1772716854453062E-3</v>
      </c>
    </row>
    <row r="6" spans="1:11" ht="15" thickBot="1" x14ac:dyDescent="0.4">
      <c r="A6" t="s">
        <v>121</v>
      </c>
      <c r="B6">
        <v>1.9422611636153151E-3</v>
      </c>
      <c r="C6">
        <v>1.5989340269027649E-3</v>
      </c>
      <c r="D6">
        <v>1.9556877076688183E-3</v>
      </c>
      <c r="E6">
        <v>8.465263270825479E-4</v>
      </c>
      <c r="F6">
        <f>VARP('Expected Return'!$F$3:$F$63)</f>
        <v>4.6605782407193137E-3</v>
      </c>
      <c r="G6">
        <v>1.8812430321481141E-3</v>
      </c>
      <c r="H6">
        <v>1.2293046520035114E-3</v>
      </c>
      <c r="I6">
        <v>2.3521436273745916E-3</v>
      </c>
      <c r="J6">
        <v>2.4031466390685451E-3</v>
      </c>
      <c r="K6" s="22">
        <v>1.8411616693936722E-3</v>
      </c>
    </row>
    <row r="7" spans="1:11" ht="15" thickBot="1" x14ac:dyDescent="0.4">
      <c r="A7" t="s">
        <v>122</v>
      </c>
      <c r="B7">
        <v>2.0103694652037333E-3</v>
      </c>
      <c r="C7">
        <v>4.8671486351026952E-3</v>
      </c>
      <c r="D7">
        <v>4.3341974352372348E-3</v>
      </c>
      <c r="E7">
        <v>3.2294897832164712E-3</v>
      </c>
      <c r="F7">
        <v>1.8812430321481141E-3</v>
      </c>
      <c r="G7">
        <f>VARP('Expected Return'!$G$3:$G$63)</f>
        <v>1.4162000999482383E-2</v>
      </c>
      <c r="H7">
        <v>3.924308791640848E-3</v>
      </c>
      <c r="I7">
        <v>8.0628731729048362E-3</v>
      </c>
      <c r="J7">
        <v>3.3457117809476277E-3</v>
      </c>
      <c r="K7" s="22">
        <v>4.3524845757851793E-3</v>
      </c>
    </row>
    <row r="8" spans="1:11" ht="15" thickBot="1" x14ac:dyDescent="0.4">
      <c r="A8" t="s">
        <v>123</v>
      </c>
      <c r="B8">
        <v>2.3098488196704372E-3</v>
      </c>
      <c r="C8">
        <v>3.5317041344260238E-3</v>
      </c>
      <c r="D8">
        <v>3.5713869375076789E-3</v>
      </c>
      <c r="E8">
        <v>2.7771744848461583E-3</v>
      </c>
      <c r="F8">
        <v>1.2293046520035114E-3</v>
      </c>
      <c r="G8">
        <v>3.924308791640848E-3</v>
      </c>
      <c r="H8">
        <f>VARP('Expected Return'!$H$3:$H$63)</f>
        <v>3.8336688639038436E-3</v>
      </c>
      <c r="I8">
        <v>6.2137430321274395E-3</v>
      </c>
      <c r="J8">
        <v>3.8736061960381978E-3</v>
      </c>
      <c r="K8" s="22">
        <v>4.4338242151246467E-3</v>
      </c>
    </row>
    <row r="9" spans="1:11" ht="15" thickBot="1" x14ac:dyDescent="0.4">
      <c r="A9" t="s">
        <v>124</v>
      </c>
      <c r="B9">
        <v>5.2545309721092979E-3</v>
      </c>
      <c r="C9">
        <v>8.408139366259124E-3</v>
      </c>
      <c r="D9">
        <v>7.6542008523920952E-3</v>
      </c>
      <c r="E9">
        <v>5.8758385532837656E-3</v>
      </c>
      <c r="F9">
        <v>2.3521436273745916E-3</v>
      </c>
      <c r="G9">
        <v>8.0628731729048362E-3</v>
      </c>
      <c r="H9">
        <v>6.2137430321274395E-3</v>
      </c>
      <c r="I9">
        <f>VARP('Expected Return'!$I$3:$I$63)</f>
        <v>1.9596191569281982E-2</v>
      </c>
      <c r="J9">
        <v>7.5630918931727971E-3</v>
      </c>
      <c r="K9" s="22">
        <v>9.5879737601338843E-3</v>
      </c>
    </row>
    <row r="10" spans="1:11" x14ac:dyDescent="0.35">
      <c r="A10" t="s">
        <v>125</v>
      </c>
      <c r="B10">
        <v>2.9820700984561155E-3</v>
      </c>
      <c r="C10">
        <v>3.8913777727078362E-3</v>
      </c>
      <c r="D10">
        <v>4.2759542387746487E-3</v>
      </c>
      <c r="E10">
        <v>3.1718374849380943E-3</v>
      </c>
      <c r="F10">
        <v>2.4031466390685451E-3</v>
      </c>
      <c r="G10">
        <v>3.3457117809476277E-3</v>
      </c>
      <c r="H10">
        <v>3.8736061960381978E-3</v>
      </c>
      <c r="I10">
        <v>7.5630918931727971E-3</v>
      </c>
      <c r="J10">
        <f>VARP('Expected Return'!$J$3:$J$63)</f>
        <v>9.7933269948656029E-3</v>
      </c>
      <c r="K10">
        <v>5.08155389896467E-3</v>
      </c>
    </row>
    <row r="11" spans="1:11" ht="15" thickBot="1" x14ac:dyDescent="0.4">
      <c r="A11" s="22" t="s">
        <v>126</v>
      </c>
      <c r="B11" s="22">
        <v>7.104421931280666E-3</v>
      </c>
      <c r="C11" s="22">
        <v>8.8870295594142418E-3</v>
      </c>
      <c r="D11" s="22">
        <v>6.9652438059735686E-3</v>
      </c>
      <c r="E11" s="22">
        <v>6.1772716854453062E-3</v>
      </c>
      <c r="F11" s="22">
        <v>1.8411616693936722E-3</v>
      </c>
      <c r="G11" s="22">
        <v>4.3524845757851793E-3</v>
      </c>
      <c r="H11" s="22">
        <v>4.4338242151246467E-3</v>
      </c>
      <c r="I11" s="22">
        <v>9.5879737601338843E-3</v>
      </c>
      <c r="J11" s="22">
        <v>5.0815538989646717E-3</v>
      </c>
      <c r="K11" s="22">
        <f>VARP('Expected Return'!$K$3:$K$63)</f>
        <v>3.0555443990937309E-2</v>
      </c>
    </row>
    <row r="19" spans="8:16" ht="15" thickBot="1" x14ac:dyDescent="0.4">
      <c r="P19" s="22"/>
    </row>
    <row r="20" spans="8:16" ht="15" thickBot="1" x14ac:dyDescent="0.4">
      <c r="H20">
        <v>3.4166011959045699E-3</v>
      </c>
      <c r="I20">
        <v>2.8859182525303199E-3</v>
      </c>
      <c r="J20">
        <v>2.3801412485842154E-3</v>
      </c>
      <c r="K20">
        <v>1.9422611636153151E-3</v>
      </c>
      <c r="L20">
        <v>2.0103694652037333E-3</v>
      </c>
      <c r="M20">
        <v>2.3098488196704372E-3</v>
      </c>
      <c r="N20">
        <v>5.2545309721092979E-3</v>
      </c>
      <c r="O20">
        <v>2.9820700984561155E-3</v>
      </c>
      <c r="P20" s="22">
        <v>7.104421931280666E-3</v>
      </c>
    </row>
    <row r="21" spans="8:16" ht="15" thickBot="1" x14ac:dyDescent="0.4">
      <c r="I21">
        <v>4.4280013276161469E-3</v>
      </c>
      <c r="J21">
        <v>4.2508733699102878E-3</v>
      </c>
      <c r="K21">
        <v>1.5989340269027649E-3</v>
      </c>
      <c r="L21">
        <v>4.8671486351026952E-3</v>
      </c>
      <c r="M21">
        <v>3.5317041344260238E-3</v>
      </c>
      <c r="N21">
        <v>8.408139366259124E-3</v>
      </c>
      <c r="O21">
        <v>3.8913777727078362E-3</v>
      </c>
      <c r="P21" s="22">
        <v>8.8870295594142418E-3</v>
      </c>
    </row>
    <row r="22" spans="8:16" ht="15" thickBot="1" x14ac:dyDescent="0.4">
      <c r="J22">
        <v>4.3102941631888948E-3</v>
      </c>
      <c r="K22">
        <v>1.9556877076688183E-3</v>
      </c>
      <c r="L22">
        <v>4.3341974352372348E-3</v>
      </c>
      <c r="M22">
        <v>3.5713869375076789E-3</v>
      </c>
      <c r="N22">
        <v>7.6542008523920952E-3</v>
      </c>
      <c r="O22">
        <v>4.2759542387746487E-3</v>
      </c>
      <c r="P22" s="22">
        <v>6.9652438059735686E-3</v>
      </c>
    </row>
    <row r="23" spans="8:16" ht="15" thickBot="1" x14ac:dyDescent="0.4">
      <c r="K23">
        <v>8.465263270825479E-4</v>
      </c>
      <c r="L23">
        <v>3.2294897832164712E-3</v>
      </c>
      <c r="M23">
        <v>2.7771744848461583E-3</v>
      </c>
      <c r="N23">
        <v>5.8758385532837656E-3</v>
      </c>
      <c r="O23">
        <v>3.1718374849380943E-3</v>
      </c>
      <c r="P23" s="22">
        <v>6.1772716854453062E-3</v>
      </c>
    </row>
    <row r="24" spans="8:16" ht="15" thickBot="1" x14ac:dyDescent="0.4">
      <c r="L24">
        <v>1.8812430321481141E-3</v>
      </c>
      <c r="M24">
        <v>1.2293046520035114E-3</v>
      </c>
      <c r="N24">
        <v>2.3521436273745916E-3</v>
      </c>
      <c r="O24">
        <v>2.4031466390685451E-3</v>
      </c>
      <c r="P24" s="22">
        <v>1.8411616693936722E-3</v>
      </c>
    </row>
    <row r="25" spans="8:16" ht="15" thickBot="1" x14ac:dyDescent="0.4">
      <c r="M25">
        <v>3.924308791640848E-3</v>
      </c>
      <c r="N25">
        <v>8.0628731729048362E-3</v>
      </c>
      <c r="O25">
        <v>3.3457117809476277E-3</v>
      </c>
      <c r="P25" s="22">
        <v>4.3524845757851793E-3</v>
      </c>
    </row>
    <row r="26" spans="8:16" ht="15" thickBot="1" x14ac:dyDescent="0.4">
      <c r="N26">
        <v>6.2137430321274395E-3</v>
      </c>
      <c r="O26">
        <v>3.8736061960381978E-3</v>
      </c>
      <c r="P26" s="22">
        <v>4.4338242151246467E-3</v>
      </c>
    </row>
    <row r="27" spans="8:16" ht="15" thickBot="1" x14ac:dyDescent="0.4">
      <c r="O27">
        <v>7.5630918931727971E-3</v>
      </c>
      <c r="P27" s="22">
        <v>9.5879737601338843E-3</v>
      </c>
    </row>
    <row r="28" spans="8:16" ht="15" thickBot="1" x14ac:dyDescent="0.4">
      <c r="P28" s="22">
        <v>5.08155389896467E-3</v>
      </c>
    </row>
    <row r="29" spans="8:16" ht="15" thickBot="1" x14ac:dyDescent="0.4">
      <c r="P2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14</vt:i4>
      </vt:variant>
    </vt:vector>
  </HeadingPairs>
  <TitlesOfParts>
    <vt:vector size="24" baseType="lpstr">
      <vt:lpstr>Historical Data</vt:lpstr>
      <vt:lpstr>Expected Return</vt:lpstr>
      <vt:lpstr>Standard Deviation</vt:lpstr>
      <vt:lpstr>Variance-Covariance</vt:lpstr>
      <vt:lpstr>Ratios</vt:lpstr>
      <vt:lpstr>Fact Sheet</vt:lpstr>
      <vt:lpstr>Fact Sheet 2</vt:lpstr>
      <vt:lpstr>Feuil2</vt:lpstr>
      <vt:lpstr>Feuil3</vt:lpstr>
      <vt:lpstr>Feuil5</vt:lpstr>
      <vt:lpstr>AAPL1</vt:lpstr>
      <vt:lpstr>AMZN1</vt:lpstr>
      <vt:lpstr>AVGO1</vt:lpstr>
      <vt:lpstr>GOOGL1</vt:lpstr>
      <vt:lpstr>Mastercard</vt:lpstr>
      <vt:lpstr>Means</vt:lpstr>
      <vt:lpstr>Meta1</vt:lpstr>
      <vt:lpstr>monthly_varcov</vt:lpstr>
      <vt:lpstr>MSFT1</vt:lpstr>
      <vt:lpstr>NVDA1</vt:lpstr>
      <vt:lpstr>ORCL1</vt:lpstr>
      <vt:lpstr>TSLA1</vt:lpstr>
      <vt:lpstr>varcov</vt:lpstr>
      <vt:lpstr>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ANDRIANOEL</cp:lastModifiedBy>
  <cp:revision/>
  <dcterms:created xsi:type="dcterms:W3CDTF">2025-10-16T15:03:57Z</dcterms:created>
  <dcterms:modified xsi:type="dcterms:W3CDTF">2025-11-05T16:01:34Z</dcterms:modified>
  <cp:category/>
  <cp:contentStatus/>
</cp:coreProperties>
</file>